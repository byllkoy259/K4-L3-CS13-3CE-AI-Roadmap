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Workspace\VinAI20K\Phase2\K4-L3-CS13-3CE-AI-Roadmap\"/>
    </mc:Choice>
  </mc:AlternateContent>
  <xr:revisionPtr revIDLastSave="0" documentId="13_ncr:1_{D253C4F6-2F8B-4CB3-8C32-C5FE04177C62}" xr6:coauthVersionLast="47" xr6:coauthVersionMax="47" xr10:uidLastSave="{00000000-0000-0000-0000-000000000000}"/>
  <bookViews>
    <workbookView xWindow="-98" yWindow="-98" windowWidth="28996" windowHeight="17475" tabRatio="500" firstSheet="3" activeTab="8" xr2:uid="{00000000-000D-0000-FFFF-FFFF00000000}"/>
  </bookViews>
  <sheets>
    <sheet name="0_Hướng dẫn" sheetId="1" r:id="rId1"/>
    <sheet name="0_Đầu vào" sheetId="2" r:id="rId2"/>
    <sheet name="1_Danh sách việc" sheetId="3" r:id="rId3"/>
    <sheet name="2_Mức tự động" sheetId="4" r:id="rId4"/>
    <sheet name="3_Bảng lộ trình" sheetId="5" r:id="rId5"/>
    <sheet name="4_Rà soát" sheetId="6" r:id="rId6"/>
    <sheet name="5_Slide lãnh đạo" sheetId="7" r:id="rId7"/>
    <sheet name="6_Tự kiểm tra" sheetId="8" r:id="rId8"/>
    <sheet name="7_Thang điểm"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9" l="1"/>
  <c r="B10" i="9"/>
  <c r="B10" i="8"/>
  <c r="C10" i="8" s="1"/>
  <c r="B9" i="8"/>
  <c r="C9" i="8" s="1"/>
  <c r="B8" i="8"/>
  <c r="C8" i="8" s="1"/>
  <c r="C8" i="7"/>
  <c r="D8" i="7" s="1"/>
  <c r="C7" i="7"/>
  <c r="D7" i="7" s="1"/>
  <c r="D6" i="7"/>
  <c r="C6" i="7"/>
  <c r="C5" i="7"/>
  <c r="D5" i="7" s="1"/>
  <c r="C4" i="7"/>
  <c r="D4" i="7" s="1"/>
  <c r="M8" i="4"/>
  <c r="J8" i="4"/>
  <c r="K8" i="4" s="1"/>
  <c r="L8" i="4" s="1"/>
  <c r="M7" i="4"/>
  <c r="J7" i="4"/>
  <c r="K7" i="4" s="1"/>
  <c r="L7" i="4" s="1"/>
  <c r="M6" i="4"/>
  <c r="B7" i="8" s="1"/>
  <c r="C7" i="8" s="1"/>
  <c r="J6" i="4"/>
  <c r="K6" i="4" s="1"/>
  <c r="L6" i="4" s="1"/>
  <c r="J5" i="4"/>
  <c r="K5" i="4" s="1"/>
  <c r="L5" i="4" s="1"/>
  <c r="B12" i="8" s="1"/>
  <c r="C12" i="8" s="1"/>
  <c r="O14" i="3"/>
  <c r="M14" i="3"/>
  <c r="N14" i="3" s="1"/>
  <c r="O13" i="3"/>
  <c r="M13" i="3"/>
  <c r="N13" i="3" s="1"/>
  <c r="O12" i="3"/>
  <c r="M12" i="3"/>
  <c r="N12" i="3" s="1"/>
  <c r="O11" i="3"/>
  <c r="M11" i="3"/>
  <c r="N11" i="3" s="1"/>
  <c r="O10" i="3"/>
  <c r="M10" i="3"/>
  <c r="N10" i="3" s="1"/>
  <c r="O9" i="3"/>
  <c r="M9" i="3"/>
  <c r="N9" i="3" s="1"/>
  <c r="O8" i="3"/>
  <c r="M8" i="3"/>
  <c r="N8" i="3" s="1"/>
  <c r="O7" i="3"/>
  <c r="M7" i="3"/>
  <c r="N7" i="3" s="1"/>
  <c r="O6" i="3"/>
  <c r="M6" i="3"/>
  <c r="N6" i="3" s="1"/>
  <c r="O5" i="3"/>
  <c r="B6" i="8" s="1"/>
  <c r="M5" i="3"/>
  <c r="B12" i="2"/>
  <c r="B11" i="8" l="1"/>
  <c r="C11" i="8" s="1"/>
  <c r="B5" i="8"/>
  <c r="N5" i="3"/>
  <c r="C5" i="8" l="1"/>
  <c r="C6" i="8"/>
</calcChain>
</file>

<file path=xl/sharedStrings.xml><?xml version="1.0" encoding="utf-8"?>
<sst xmlns="http://schemas.openxmlformats.org/spreadsheetml/2006/main" count="298" uniqueCount="285">
  <si>
    <t>CS13 · Lộ trình sản phẩm AI — File thực hành · Đề 2 · ChấmNhanh</t>
  </si>
  <si>
    <t>AI in Action · Track 1 · Khóa 4. FILE LÀM BÀI CỦA NHÓM · Đề 2 · ChấmNhanh. Dữ liệu của đề nằm trong file CS13_HoSoTinhHuong.pdf; file CS13_Roadmap_Mau.xlsx là bản mẫu đã điền (một sản phẩm khác) để xem cách điền.</t>
  </si>
  <si>
    <t>Luật chơi: CHỈ điền vào ô màu VÀNG. Ô màu XANH là công thức và đã được khóa. Bắt đầu bằng trang 0_Đầu vào (Nhiệm vụ 0: đọc hồ sơ tình huống).</t>
  </si>
  <si>
    <t>Thứ tự làm: 0 Đọc hồ sơ → 1 Danh sách việc → 2 Mức tự động → 3 Bảng lộ trình → 4 Rà soát → 6 Tự kiểm tra. Trang 5 (slide lãnh đạo) làm ở nhà.</t>
  </si>
  <si>
    <t>Số liệu kinh tế của đề đã điền sẵn ở trang 2, dòng 12–20. Không cần file của buổi nào khác: mọi dữ liệu cần dùng nằm trong hồ sơ tình huống, Đề 2.</t>
  </si>
  <si>
    <t>Lộ trình theo GIẢ THUYẾT: mỗi hạng mục phải trả lời 'Ta tin rằng làm X sẽ giúp Y đạt Z; biết đúng khi chỉ số W đạt ngưỡng V'.</t>
  </si>
  <si>
    <t>Tên file nộp: [Nhom]_CS13.xlsx · Nộp bản có Nhiệm vụ 1–4 lên VLearn trước 18:00 ngày 16/10. Trang 5 (Nhiệm vụ 5, làm ở nhà) nộp trước 23:59 ngày 19/10.</t>
  </si>
  <si>
    <t>Tuân thủ: Luật Trí tuệ nhân tạo số 134/2025/QH15 (hiệu lực 01/3/2026) chia hệ thống AI thành 3 mức rủi ro và yêu cầu người dùng được thông tin khi tương tác với AI. Đọc văn bản gốc trước khi ghi vào bài.</t>
  </si>
  <si>
    <t>Chú thích màu:</t>
  </si>
  <si>
    <t>Ô điền giả định (không khóa)</t>
  </si>
  <si>
    <t>Ô công thức (tự tính, đã khóa)</t>
  </si>
  <si>
    <t>0 · Nhiệm vụ 0: đọc hồ sơ tình huống, Đề 2 (5 phút)</t>
  </si>
  <si>
    <t>Cả nhóm đọc cùng một hồ sơ trước khi điền. Nhiệm vụ 0 không tính điểm; đánh dấu "Có" khi cả nhóm đã đọc mục đó.</t>
  </si>
  <si>
    <t>Mục trong hồ sơ tình huống</t>
  </si>
  <si>
    <t>Nhóm đã đọc chưa?</t>
  </si>
  <si>
    <t>Dùng ở đâu trong file</t>
  </si>
  <si>
    <t>Lưu ý</t>
  </si>
  <si>
    <t>Ghi chú của nhóm</t>
  </si>
  <si>
    <t>Số liệu kinh tế của đề (9 dòng)</t>
  </si>
  <si>
    <t>Đã điền sẵn ở trang 2, dòng 12–20: chi phí mỗi việc, biên lợi nhuận, điều kiện dừng</t>
  </si>
  <si>
    <t>Đọc để hiểu; không cần chép</t>
  </si>
  <si>
    <t>Bối cảnh, sản phẩm, "1 việc" là gì</t>
  </si>
  <si>
    <t>Giả thuyết và chỉ số ở trang 1</t>
  </si>
  <si>
    <t>Viết giả thuyết theo đúng "1 việc" của đề</t>
  </si>
  <si>
    <t>6 việc gợi ý</t>
  </si>
  <si>
    <t>Trang 1, cột B–C; nhóm được thêm việc của mình</t>
  </si>
  <si>
    <t>Giữ, bỏ hay đổi thứ tự đều phải ghi lý do ở cột Q</t>
  </si>
  <si>
    <t>Kết quả đánh giá đã có (bộ đề, cổng phát hành)</t>
  </si>
  <si>
    <t>Cổng đánh giá ở trang 2; việc cần làm trước ở trang 3</t>
  </si>
  <si>
    <t>Đề 2, 3: kết luận chưa phải "Phát hành" → có việc phải làm trước</t>
  </si>
  <si>
    <t>Chuyên gia và số giờ của họ</t>
  </si>
  <si>
    <t>Dòng "Điều kiện cần" ở trang 3; ô "Cần gì" ở trang 5</t>
  </si>
  <si>
    <t>Dẫn đúng số giờ trong hồ sơ</t>
  </si>
  <si>
    <t>Gợi ý về người duyệt và mức tự động</t>
  </si>
  <si>
    <t>Trang 2, cột H và I</t>
  </si>
  <si>
    <t>Đề 3: bác sĩ của bệnh viện không tính vào chi phí</t>
  </si>
  <si>
    <t>Số mục nhóm đã đọc</t>
  </si>
  <si>
    <t>Đủ 6/6 thì sang Nhiệm vụ 1.</t>
  </si>
  <si>
    <t>1 · Danh sách việc và chấm điểm ưu tiên</t>
  </si>
  <si>
    <t>Điểm = Độ phủ × Tác động × Mức tự tin ÷ Công sức × (0,5 + 0,5 × sẵn sàng trung bình của dữ liệu và đánh giá) × (1 − 0,5 × rủi ro bị 'nuốt')</t>
  </si>
  <si>
    <t>STT</t>
  </si>
  <si>
    <t>Việc</t>
  </si>
  <si>
    <t>Kết quả muốn đạt</t>
  </si>
  <si>
    <t>Giả thuyết (Ta tin rằng…)</t>
  </si>
  <si>
    <t>Chỉ số thành công và ngưỡng</t>
  </si>
  <si>
    <t>Độ phủ 1–5</t>
  </si>
  <si>
    <t>Tác động 1–5</t>
  </si>
  <si>
    <t>Mức tự tin 0,5 / 0,8 / 1</t>
  </si>
  <si>
    <t>Công sức 1–5</t>
  </si>
  <si>
    <t>Sẵn sàng dữ liệu 0–1</t>
  </si>
  <si>
    <t>Sẵn sàng đánh giá 0–1</t>
  </si>
  <si>
    <t>Rủi ro bị nuốt 0–1</t>
  </si>
  <si>
    <t>ĐIỂM</t>
  </si>
  <si>
    <t>Xếp hạng</t>
  </si>
  <si>
    <t>Chỉ số có con số?</t>
  </si>
  <si>
    <t>Tự làm / Mua / Chờ / Không làm</t>
  </si>
  <si>
    <t>Lý do (đổi thứ tự, chọn mua hay chờ…)</t>
  </si>
  <si>
    <t>Chấm điểm 4 tiêu chí cho bài viết thường</t>
  </si>
  <si>
    <t>Giáo viên bớt 60% giờ chấm bài thường</t>
  </si>
  <si>
    <t>Ta tin rằng để AI chấm 4 tiêu chí cho bài thường, giáo viên chỉ duyệt bài ranh giới và mẫu, sẽ giúp giáo viên bớt 60% giờ chấm bài thường mà điểm vẫn đủ tin cậy.</t>
  </si>
  <si>
    <t>Giờ chấm bài thường (khoảng 1.500 bài/tuần) giảm ≥ 60%; ≥ 70% bài khớp giáo viên trong ±0,5 điểm; 0 bài lệch &gt; 1 điểm trên ≥ 300 bài; trước ngày 90.</t>
  </si>
  <si>
    <t>Tự làm</t>
  </si>
  <si>
    <t>Hạng 1 theo điểm: công sức thấp vì bản 2 đã phát hành có giới hạn, giờ giáo viên giảm nhiều nhất. Tự làm vì dựa trên tiêu chí và điểm riêng của trung tâm. Sẵn sàng đánh giá chỉ 0,3 vì bộ đề mới 40 bài (&lt; 200).</t>
  </si>
  <si>
    <t>Nhận xét có trích câu và gợi ý sửa</t>
  </si>
  <si>
    <t>Học sinh sửa được bài sau</t>
  </si>
  <si>
    <t>Ta tin rằng nhận xét trích đúng câu của học sinh kèm gợi ý sửa sẽ giúp học sinh sửa được lỗi ở bài kế tiếp.</t>
  </si>
  <si>
    <t>≥ 60% học sinh sửa đúng ít nhất 1 lỗi đã được chỉ ra ở bài kế tiếp; giáo viên phải sửa nhận xét &lt; 20% trên ≥ 200 bài; trước ngày 180.</t>
  </si>
  <si>
    <t>Tự tin chỉ 0,5: kappa 0,80 chỉ đo điểm, chưa có số đo riêng cho nhận xét. Làm ở tầng Tiếp theo, sau khi cổng chấm điểm ổn.</t>
  </si>
  <si>
    <t>Chuyển bài cho giáo viên đúng lúc</t>
  </si>
  <si>
    <t>Không bài khó nào bị máy chấm sai</t>
  </si>
  <si>
    <t>Ta tin rằng chuyển bài máy chấm trong khoảng 5,0–6,5 và bài tầng Khó cho giáo viên sẽ giúp không bài khó nào bị máy chấm lệch quá 1 điểm.</t>
  </si>
  <si>
    <t>0 bài tầng Khó lệch &gt; 1 điểm; số tầng tụt = 0 trên bộ đề 40 bài (hiện là 1); ≥ 95% bài trong vùng 5,0–6,5 được chuyển; trước ngày 60.</t>
  </si>
  <si>
    <t>Hạng 2 nhưng làm CÙNG việc 1 ở tầng Bây giờ: đây là điều kiện của cổng Mức 1 (tầng Khó đang tụt 1 tầng, 2 lần phụ huynh khiếu nại). Dựa trên điểm riêng của trung tâm nên khó bị nuốt (0,1).</t>
  </si>
  <si>
    <t>Sửa ngữ pháp từng câu</t>
  </si>
  <si>
    <t>Học sinh thấy lỗi ngữ pháp</t>
  </si>
  <si>
    <t>Ta tin rằng dùng công cụ sửa ngữ pháp miễn phí có sẵn sẽ giúp học sinh thấy lỗi ngữ pháp từng câu mà không cần tự xây.</t>
  </si>
  <si>
    <t>100% bài hiển thị lỗi ngữ pháp từng câu; ≥ 70% học sinh mở xem phần lỗi; tích hợp xong trong 14 ngày.</t>
  </si>
  <si>
    <t>Mua</t>
  </si>
  <si>
    <t>Mua: công cụ miễn phí đã làm tốt việc sửa từng câu (rủi ro bị nuốt 0,9), tự xây không tạo khác biệt. Chỉ tính công tích hợp.</t>
  </si>
  <si>
    <t>Báo cáo tiến bộ cho phụ huynh</t>
  </si>
  <si>
    <t>Phụ huynh gia hạn khoá học</t>
  </si>
  <si>
    <t>Ta tin rằng báo cáo tiến bộ gửi phụ huynh sẽ giúp phụ huynh gia hạn khoá học và bớt khiếu nại về điểm.</t>
  </si>
  <si>
    <t>Tỷ lệ gia hạn nhóm nhận báo cáo cao hơn nhóm đối chứng ≥ 5 điểm phần trăm trên ≥ 200 phụ huynh; khiếu nại điểm lệch từ 2 lần xuống 0 mỗi quý; sau ngày 90.</t>
  </si>
  <si>
    <t>Chờ</t>
  </si>
  <si>
    <t>Chờ: dữ liệu điểm học sinh mới bắt đầu thu, cần khoảng 3 tháng mới đủ. Xếp hạng thấp nhất nhưng có giá trị với khách (gia hạn); xem lại vào ngày 90.</t>
  </si>
  <si>
    <t>Tạo đề bài viết theo trình độ</t>
  </si>
  <si>
    <t>Giáo viên bớt giờ soạn đề</t>
  </si>
  <si>
    <t>Ta tin rằng để AI tạo đề bài viết theo trình độ sẽ giúp giáo viên bớt giờ soạn đề.</t>
  </si>
  <si>
    <t>Giáo viên bớt ≥ 30% giờ soạn đề; ≥ 90% đề được giáo viên dùng không sửa; thử trong 30 ngày.</t>
  </si>
  <si>
    <t>Không làm</t>
  </si>
  <si>
    <t>Không làm: mô hình miễn phí đã tạo được đề (rủi ro bị nuốt 0,9), tác động nhỏ. Không tự xây; giáo viên dùng mô hình miễn phí.</t>
  </si>
  <si>
    <t>2 · Lộ trình tăng dần mức tự động và cổng đánh giá</t>
  </si>
  <si>
    <t>Mỗi lần lên mức phải qua một cổng đánh giá bằng con số. Chưa qua cổng thì chưa lên mức, dù đã đến ngày. Mức tự động quyết định chi phí mỗi việc: xem cột H–L.</t>
  </si>
  <si>
    <t>Mức</t>
  </si>
  <si>
    <t>Tên mức</t>
  </si>
  <si>
    <t>AI làm gì</t>
  </si>
  <si>
    <t>Người làm gì</t>
  </si>
  <si>
    <t>Cổng đánh giá để lên mức này (chỉ số + ngưỡng + cỡ mẫu)</t>
  </si>
  <si>
    <t>Dữ liệu / hạ tầng / tuân thủ cần có</t>
  </si>
  <si>
    <t>Dự kiến (kế hoạch nội bộ, không phải cam kết)</t>
  </si>
  <si>
    <t>% việc có người duyệt</t>
  </si>
  <si>
    <t>Ai duyệt</t>
  </si>
  <si>
    <t>Chi phí mỗi việc (đ)</t>
  </si>
  <si>
    <t>Biên lợi nhuận gộp</t>
  </si>
  <si>
    <t>Biên ≥ 60%?</t>
  </si>
  <si>
    <t>Cổng có con số?</t>
  </si>
  <si>
    <t>Gợi ý</t>
  </si>
  <si>
    <t>Chấm nháp 4 tiêu chí và viết nhận xét; hiển thị cho giáo viên, chưa gửi cho học sinh.</t>
  </si>
  <si>
    <t>Giáo viên chấm lại 100% bài và quyết định điểm cuối; điểm giáo viên là chuẩn để so với điểm máy.</t>
  </si>
  <si>
    <t>Mức khởi đầu, không có cổng (đã qua cổng phát hành có giới hạn: 82,6% quy về thực tế, 0 lỗi nghiêm trọng, kappa 0,80).</t>
  </si>
  <si>
    <t>Ghi nhật ký điểm máy và điểm giáo viên của từng bài; thông báo cho học sinh, phụ huynh là có AI tham gia chấm (Luật Trí tuệ nhân tạo).</t>
  </si>
  <si>
    <t>Tháng 1–2</t>
  </si>
  <si>
    <t>Người của mình</t>
  </si>
  <si>
    <t>Hỗ trợ có duyệt</t>
  </si>
  <si>
    <t>Tự chấm bài thường; chuyển giáo viên bài máy chấm 5,0–6,5, bài tầng Khó và bài không chắc.</t>
  </si>
  <si>
    <t>Giáo viên duyệt toàn bộ bài chuyển lên và mẫu 10% bài còn lại (khoảng 30% tổng); giáo viên quyết định điểm cuối.</t>
  </si>
  <si>
    <t>Trên ≥ 300 bài chấm song song ở Mức 0: ≥ 70% bài khớp giáo viên trong ±0,5 điểm và 0 bài lệch &gt; 1 điểm (lỗi thật dưới khoảng 1%); số tầng tụt = 0 và 0 lỗi nghiêm trọng trên bộ đề 40 bài chạy lại; cô Lan ký xác nhận.</t>
  </si>
  <si>
    <t>Dữ liệu: ≥ 300 bài có điểm giáo viên, được phép dùng. Hạ tầng: chuyển bài theo vùng điểm 5,0–6,5. Tuân thủ: thông báo AI tham gia chấm. Chuyên gia: cô Lan, thầy Khoa mỗi người 2 giờ/tuần (một vòng bộ đề 40 bài tốn 14,2 giờ, khoảng 3,5 tuần).</t>
  </si>
  <si>
    <t>Ngày 60–90 (nếu qua cổng)</t>
  </si>
  <si>
    <t>Tự động một phần</t>
  </si>
  <si>
    <t>Tự chấm và gửi điểm cho bài thường; chuyển giáo viên bài ranh giới và bài không chắc.</t>
  </si>
  <si>
    <t>Giáo viên duyệt khoảng 15% (10% bài chuyển lên + 5% mẫu ngẫu nhiên); giải quyết khiếu nại về điểm.</t>
  </si>
  <si>
    <t>Ở Mức 1 ≥ 500 bài: giáo viên sửa điểm &lt; 15% bài; 0 bài lệch &gt; 1 điểm trên ≥ 500 bài (lỗi thật dưới khoảng 0,6%); ≥ 70% khớp giáo viên trong ±0,5 điểm (không đặt cao hơn mức hai giáo viên giỏi khớp nhau); số tầng tụt = 0; cô Lan ký.</t>
  </si>
  <si>
    <t>Dữ liệu: ≥ 500 bài thật có điểm giáo viên; mẫu 2% chấm đôi mỗi tuần. Hạ tầng: bảng theo dõi lệch điểm theo tuần. Tuân thủ: quy trình khiếu nại điểm. Chuyên gia: cô Lan chấm đôi 2% bài.</t>
  </si>
  <si>
    <t>Tháng 4–6 (nếu qua cổng)</t>
  </si>
  <si>
    <t>Tự động có giám sát</t>
  </si>
  <si>
    <t>Tự chấm và tự gửi điểm cho bài thường; chỉ chuyển bài ngoại lệ.</t>
  </si>
  <si>
    <t>Theo dõi bảng số liệu; duyệt mẫu 8%; xử lý bài ngoại lệ và khiếu nại.</t>
  </si>
  <si>
    <t>Ở Mức 2 ≥ 1.000 bài: 0 bài lệch &gt; 1 điểm (lỗi thật dưới khoảng 0,3%); khớp giáo viên trong ±0,5 điểm ≥ 70% suốt 3 tháng liên tiếp; không khiếu nại điểm nghiêm trọng; ban lãnh đạo cùng cô Lan ký. Chưa cam kết, chỉ xét nếu đủ cổng.</t>
  </si>
  <si>
    <t>Dữ liệu: ≥ 1.000 bài thật. Hạ tầng: cảnh báo tự động khi lệch điểm. Tuân thủ: rà soát lại Luật Trí tuệ nhân tạo về điểm có ảnh hưởng tới học sinh. Chuyên gia: cô Lan rà soát hằng tháng.</t>
  </si>
  <si>
    <t>Tháng 9–12 (chưa cam kết)</t>
  </si>
  <si>
    <t>SỐ LIỆU KINH TẾ CỦA ĐỀ (đã điền sẵn từ hồ sơ tình huống; sửa được nếu nhóm có lý do)</t>
  </si>
  <si>
    <t>Chi phí gọi AI / việc (đã tính gọi lại)</t>
  </si>
  <si>
    <t>Hồ sơ, bảng Số liệu kinh tế, dòng 1</t>
  </si>
  <si>
    <t>Hạ tầng + đánh giá + khác / việc</t>
  </si>
  <si>
    <t>dòng 2</t>
  </si>
  <si>
    <t>Số phút người duyệt / việc</t>
  </si>
  <si>
    <t>dòng 3</t>
  </si>
  <si>
    <t>Chi phí 1 giờ người duyệt (đ)</t>
  </si>
  <si>
    <t>dòng 4</t>
  </si>
  <si>
    <t>Doanh thu bình quân / khách / tháng (đ)</t>
  </si>
  <si>
    <t>dòng 5</t>
  </si>
  <si>
    <t>Số việc bình quân / khách / tháng</t>
  </si>
  <si>
    <t>dòng 6</t>
  </si>
  <si>
    <t>Biến nguy hiểm nhất</t>
  </si>
  <si>
    <t>Doanh thu bình quân (55% doanh thu đến từ 25% trung tâm lớn)</t>
  </si>
  <si>
    <t>dòng 7</t>
  </si>
  <si>
    <t>Điều kiện dừng đã chọn (theo đề)</t>
  </si>
  <si>
    <t>NẾU doanh thu bình quân sau chia dưới 3,95 triệu/trung tâm trong 2 tháng liên tiếp, trên ít nhất 15 trung tâm, THÌ dừng mở rộng</t>
  </si>
  <si>
    <t>dòng 8</t>
  </si>
  <si>
    <t>Kịch bản xấu hết tiền ở tháng</t>
  </si>
  <si>
    <t>dòng 9</t>
  </si>
  <si>
    <t>Ghi chú: người duyệt của mình là giáo viên duyệt bài do công ty trả tiền. Hai giáo viên giỏi chỉ khớp nhau khoảng 70% trong phạm vi 0,5 điểm: đừng đặt cổng cao hơn mức đó.</t>
  </si>
  <si>
    <t>3 · Bảng lộ trình theo giả thuyết: Bây giờ / Tiếp theo / Sau này</t>
  </si>
  <si>
    <t>Bây giờ = cam kết (0–3 tháng) · Tiếp theo = định hướng (3–6 tháng) · Sau này = khám phá (6–12 tháng). Càng xa càng ít chi tiết.</t>
  </si>
  <si>
    <t>Dòng</t>
  </si>
  <si>
    <t>Bây giờ (0–3 tháng)</t>
  </si>
  <si>
    <t>Tiếp theo (3–6 tháng)</t>
  </si>
  <si>
    <t>Sau này (6–12 tháng)</t>
  </si>
  <si>
    <t>Việc chính (lấy từ trang 1)</t>
  </si>
  <si>
    <t>Chấm 4 tiêu chí bài thường (Mức 0 lên Mức 1) và chuyển bài đúng lúc: sửa tầng Khó đang tụt, chạy lại bộ đề 40 bài.</t>
  </si>
  <si>
    <t>Nhận xét có trích câu và gợi ý sửa; mua công cụ sửa ngữ pháp; lên Mức 2.</t>
  </si>
  <si>
    <t>Báo cáo tiến bộ cho phụ huynh khi đủ 3 tháng dữ liệu; xét Mức 3 (chưa cam kết).</t>
  </si>
  <si>
    <t>Giả thuyết</t>
  </si>
  <si>
    <t>Ta tin rằng AI chấm bài thường, giáo viên duyệt bài 5,0–6,5 và tầng Khó, sẽ giúp giáo viên bớt 60% giờ chấm mà không bài khó nào lệch quá 1 điểm.</t>
  </si>
  <si>
    <t>Ta tin rằng nhận xét trích đúng câu kèm gợi ý sẽ giúp học sinh sửa được lỗi ở bài sau.</t>
  </si>
  <si>
    <t>Ta tin rằng báo cáo tiến bộ sẽ giúp phụ huynh gia hạn khoá học và bớt khiếu nại.</t>
  </si>
  <si>
    <t>Giờ chấm bài thường giảm ≥ 60%; ≥ 70% khớp giáo viên ±0,5 điểm; 0 bài lệch &gt; 1 điểm trên ≥ 300 bài; số tầng tụt = 0; trước ngày 90.</t>
  </si>
  <si>
    <t>≥ 60% học sinh sửa đúng ≥ 1 lỗi ở bài sau; giáo viên sửa nhận xét &lt; 20% trên ≥ 200 bài.</t>
  </si>
  <si>
    <t>Gia hạn nhóm có báo cáo cao hơn nhóm đối chứng ≥ 5 điểm phần trăm trên ≥ 200 phụ huynh.</t>
  </si>
  <si>
    <t>Mức tự động (trang 2)</t>
  </si>
  <si>
    <t>Mức 0 lên Mức 1 (giáo viên duyệt khoảng 30% bài).</t>
  </si>
  <si>
    <t>Mức 1 lên Mức 2 (giáo viên duyệt khoảng 15% bài).</t>
  </si>
  <si>
    <t>Xét Mức 3 (duyệt khoảng 8%); chưa cam kết.</t>
  </si>
  <si>
    <t>Cổng đánh giá</t>
  </si>
  <si>
    <t>Lên Mức 1 khi ≥ 300 bài: ≥ 70% khớp ±0,5 điểm, 0 bài lệch &gt; 1 điểm, số tầng tụt = 0 trên bộ đề 40 bài; cô Lan ký.</t>
  </si>
  <si>
    <t>Lên Mức 2 khi ≥ 500 bài: giáo viên sửa điểm &lt; 15%, 0 bài lệch &gt; 1 điểm (lỗi thật &lt; 0,6%).</t>
  </si>
  <si>
    <t>Lên Mức 3 khi ≥ 1.000 bài: 0 bài lệch &gt; 1 điểm (lỗi thật &lt; 0,3%) suốt 3 tháng liên tiếp.</t>
  </si>
  <si>
    <t>Điều kiện cần: dữ liệu / hạ tầng / tuân thủ</t>
  </si>
  <si>
    <t>Dữ liệu: ≥ 300 bài có điểm giáo viên. Hạ tầng: nhật ký điểm máy và điểm giáo viên. Tuân thủ: thông báo AI tham gia chấm. Chuyên gia: cô Lan, thầy Khoa mỗi người 2 giờ/tuần; một vòng bộ đề 14,2 giờ ≈ 3,5 tuần.</t>
  </si>
  <si>
    <t>Dữ liệu: ≥ 500 bài thật; mẫu 2% chấm đôi mỗi tuần. Hạ tầng: bảng theo dõi lệch điểm. Tuân thủ: quy trình khiếu nại điểm.</t>
  </si>
  <si>
    <t>Dữ liệu: điểm học sinh ≥ 3 tháng (hiện mới bắt đầu thu). Tuân thủ: dữ liệu học sinh, thông báo cho phụ huynh.</t>
  </si>
  <si>
    <t>Căn cứ kinh tế (số liệu của đề và trang 2)</t>
  </si>
  <si>
    <t>Chi phí mỗi bài = 1.019 đ + 6.000 đ × tỷ lệ duyệt. Mức 1 (duyệt 30%) = 2.819 đ, biên 45,9%; Mức 2 (duyệt 15%) = 1.919 đ, biên 63,2%. Hòa vốn khi duyệt khoảng 70%. Kịch bản xấu: hết tiền ở tháng 17.</t>
  </si>
  <si>
    <t>Mức 2: 1.919 đ mỗi bài, biên 63,2% (≥ 60% khi duyệt ≤ 17,7%). Doanh thu bình quân 5,21 triệu/trung tâm sau chia 20% đối tác.</t>
  </si>
  <si>
    <t>Mức 3 (duyệt 8%): 1.499 đ mỗi bài, biên 71,2%. 55% doanh thu đến từ 25% trung tâm lớn: theo dõi hằng tháng.</t>
  </si>
  <si>
    <t>Điều kiện dừng / đổi hướng</t>
  </si>
  <si>
    <t>NẾU hết tháng 3 số tầng tụt vẫn ≥ 1, hoặc có 1 bài lệch &gt; 1 điểm tới học sinh, THÌ lùi về Mức 0. NẾU doanh thu bình quân sau chia &lt; 3,95 triệu/trung tâm trong 2 tháng liên tiếp, trên ≥ 15 trung tâm, THÌ dừng mở rộng.</t>
  </si>
  <si>
    <t>NẾU sau Mức 2 giáo viên sửa điểm &gt; 15% hoặc có 1 bài lệch &gt; 1 điểm tới học sinh trong 1 tháng THÌ lùi về Mức 1.</t>
  </si>
  <si>
    <t>NẾU ngày 90 chưa đủ 3 tháng dữ liệu hoặc khiếu nại điểm vẫn &gt; 0 mỗi quý THÌ chờ thêm, không làm báo cáo tiến bộ.</t>
  </si>
  <si>
    <t>4 · Lịch rà soát lộ trình</t>
  </si>
  <si>
    <t>Rà soát theo lịch VÀ mỗi khi có sự kiện. Ở mốc 30/60/90 chọn 1 trong 4: đi tiếp, sửa, đổi hướng, dừng.</t>
  </si>
  <si>
    <t>Mốc / sự kiện</t>
  </si>
  <si>
    <t>Nhìn vào chỉ số nào</t>
  </si>
  <si>
    <t>Quyết định có thể đưa ra</t>
  </si>
  <si>
    <t>Ai quyết</t>
  </si>
  <si>
    <t>Ngày 30</t>
  </si>
  <si>
    <t>Số tầng tụt sau khi sửa; ≥ 70% khớp giáo viên ±0,5 điểm trên 100 bài đầu; % bài vào vùng 5,0–6,5; kết quả chấm đôi 2% bài.</t>
  </si>
  <si>
    <t>Đi tiếp hoặc sửa (chưa đổi hướng hay dừng).</t>
  </si>
  <si>
    <t>Trưởng nhóm sản phẩm cùng cô Lan</t>
  </si>
  <si>
    <t>Ngày 60</t>
  </si>
  <si>
    <t>≥ 70% khớp ±0,5 điểm và 0 bài lệch &gt; 1 điểm trên ≥ 300 bài; kết quả vòng 2 bộ đề 40 bài (14,2 giờ chuyên gia).</t>
  </si>
  <si>
    <t>Đi tiếp lên Mức 1 nếu qua cổng; sửa nếu chưa đạt.</t>
  </si>
  <si>
    <t>Giám đốc sản phẩm; cô Lan ký xác nhận</t>
  </si>
  <si>
    <t>Ngày 90</t>
  </si>
  <si>
    <t>Giờ chấm bài thường giảm ≥ 60%; số tầng tụt = 0; doanh thu bình quân trung tâm so với 3,95 triệu; số trung tâm đang dùng.</t>
  </si>
  <si>
    <t>Đi tiếp, sửa, đổi hướng hoặc dừng mở rộng.</t>
  </si>
  <si>
    <t>Ban lãnh đạo</t>
  </si>
  <si>
    <t>Có mô hình mới / giá gọi AI giảm mạnh</t>
  </si>
  <si>
    <t>Chạy mô hình mới trên bộ đề 40 bài: điểm khớp, số tầng tụt, chi phí mỗi bài (cần rẻ hơn ≥ 20% và 0 lỗi nghiêm trọng).</t>
  </si>
  <si>
    <t>Đổi mô hình nếu qua cổng; giữ bản đang chạy nếu không.</t>
  </si>
  <si>
    <t>Kỹ sư trưởng; cô Lan duyệt kết quả</t>
  </si>
  <si>
    <t>Nền tảng hoặc đối thủ ra tính năng tương tự</t>
  </si>
  <si>
    <t>Số trung tâm đối tác hỏi tính năng tương tự; tỷ lệ gia hạn; so sánh chất lượng chấm.</t>
  </si>
  <si>
    <t>Mua hoặc đổi hướng sang phần riêng (tiêu chí và điểm của trung tâm, chuyển bài đúng lúc).</t>
  </si>
  <si>
    <t>Giám đốc sản phẩm cùng ban lãnh đạo</t>
  </si>
  <si>
    <t>Quy định pháp lý thay đổi</t>
  </si>
  <si>
    <t>Thay đổi quy định về thông báo AI, điểm ảnh hưởng học sinh; số khiếu nại của phụ huynh (đang là 2 lần).</t>
  </si>
  <si>
    <t>Sửa thông báo, lùi mức hoặc dừng nếu cần.</t>
  </si>
  <si>
    <t>Người phụ trách pháp lý cùng ban lãnh đạo</t>
  </si>
  <si>
    <t>Ngày 90 chưa đo được giá trị vòng đời thật: khách mới dùng 3 tháng. Chỉ dùng chỉ số đã có đủ dữ liệu.</t>
  </si>
  <si>
    <t>5 · Lộ trình 1 slide cho lãnh đạo</t>
  </si>
  <si>
    <t>Kết luận trước. Không quá 60 chữ mỗi ô (cột C tự đếm).</t>
  </si>
  <si>
    <t>Số chữ</t>
  </si>
  <si>
    <t>Đạt?</t>
  </si>
  <si>
    <t>Kết luận (1 câu)</t>
  </si>
  <si>
    <t>Làm trước: chấm bài thường và chuyển bài ranh giới cho giáo viên, sửa tầng Khó đang tụt. Mục tiêu giáo viên bớt 60% giờ chấm, 0 bài lệch hơn 1 điểm trên 300 bài, quyết định vào ngày 90. Chưa cho máy chấm một mình khi chưa qua cổng.</t>
  </si>
  <si>
    <t>3 việc chính</t>
  </si>
  <si>
    <t>Bây giờ: chấm 4 tiêu chí bài thường và chuyển bài 5,0–6,5 cho giáo viên (Mức 0 lên Mức 1). Tiếp theo: nhận xét có trích câu, mua công cụ sửa ngữ pháp, lên Mức 2 (duyệt 15%). Sau này: báo cáo tiến bộ cho phụ huynh khi đủ 3 tháng dữ liệu; Mức 3 chưa cam kết.</t>
  </si>
  <si>
    <t>Cần gì (người, tiền, dữ liệu)</t>
  </si>
  <si>
    <t>Người: cô Lan và thầy Khoa mỗi người 2 giờ/tuần (một vòng bộ đề 40 bài tốn 14,2 giờ, khoảng 3,5 tuần); giáo viên duyệt khoảng 30% bài. Dữ liệu: ≥ 300 bài có điểm giáo viên. Tiền: biên Mức 2 là 63,2%; kịch bản xấu hết tiền ở tháng 17.</t>
  </si>
  <si>
    <t>Rủi ro lớn nhất &amp; cách xử lý</t>
  </si>
  <si>
    <t>Doanh thu bình quân: 55% đến từ 25% trung tâm lớn. NẾU doanh thu sau chia dưới 3,95 triệu/trung tâm 2 tháng liên tiếp, trên ≥ 15 trung tâm, THÌ dừng mở rộng. Có 1 bài lệch hơn 1 điểm tới học sinh thì lùi về Mức 0.</t>
  </si>
  <si>
    <t>Khi nào xem lại</t>
  </si>
  <si>
    <t>Ngày 30, 60, 90: chọn đi tiếp, sửa, đổi hướng hoặc dừng; ngày 90 quyết định lên Mức 1. Rà soát ngay khi có mô hình mới, giá gọi AI giảm mạnh, đối thủ ra tính năng tương tự hoặc quy định đổi. Người quyết: ban lãnh đạo cùng cô Lan.</t>
  </si>
  <si>
    <t>6 · Tự kiểm tra</t>
  </si>
  <si>
    <t>Chưa 'Đạt' thì quay lại sửa trước khi nộp file.</t>
  </si>
  <si>
    <t>Điểm kiểm tra</t>
  </si>
  <si>
    <t>Kết quả</t>
  </si>
  <si>
    <t>Số việc đã chấm điểm (cần ≥ 5)</t>
  </si>
  <si>
    <t>Việc được giữ lại mà thiếu giả thuyết hoặc chỉ số có con số (cần = 0)</t>
  </si>
  <si>
    <t>Số mức tự động có cổng đánh giá kèm con số (cần ≥ 2, không tính Mức 0)</t>
  </si>
  <si>
    <t>Bảng lộ trình: số ô tầng 'Bây giờ' đã điền (cần 8/8)</t>
  </si>
  <si>
    <t>Điều kiện dừng tầng 'Bây giờ' có con số</t>
  </si>
  <si>
    <t>Căn cứ kinh tế có con số (từ số liệu của đề)</t>
  </si>
  <si>
    <t>Slide lãnh đạo: số ô đạt (đủ chữ, không quá 60 chữ; cần 5)</t>
  </si>
  <si>
    <t>Số mức tự động có biên lợi nhuận ≥ 60% (cần ≥ 1)</t>
  </si>
  <si>
    <t>7 · Thang điểm sản phẩm (100 điểm)</t>
  </si>
  <si>
    <t>Tiêu chí</t>
  </si>
  <si>
    <t>Điểm</t>
  </si>
  <si>
    <t>Bài đạt khi</t>
  </si>
  <si>
    <t>Điểm nhóm</t>
  </si>
  <si>
    <t>Theo kết quả và giả thuyết</t>
  </si>
  <si>
    <t>Mỗi việc có giả thuyết, chỉ số và ngưỡng, không chỉ là tên tính năng</t>
  </si>
  <si>
    <t>Ưu tiên có căn cứ</t>
  </si>
  <si>
    <t>Bảng điểm ≥ 5 việc; có sẵn sàng dữ liệu, đánh giá và rủi ro bị nuốt; dùng số liệu kinh tế của đề; đổi thứ tự hoặc bỏ việc thì ghi lý do</t>
  </si>
  <si>
    <t>Mức tự động và cổng đánh giá</t>
  </si>
  <si>
    <t>≥ 2 mức có cổng bằng con số (chỉ số, ngưỡng, cỡ mẫu); có vai trò của người; có chi phí mỗi việc theo mức</t>
  </si>
  <si>
    <t>Điều kiện cần và rủi ro</t>
  </si>
  <si>
    <t>Nêu dữ liệu, hạ tầng, tuân thủ; điều kiện dừng đo được với quy mô thử nghiệm; có lịch rà soát</t>
  </si>
  <si>
    <t>Slide lãnh đạo</t>
  </si>
  <si>
    <t>Kết luận trước, ≤ 60 chữ mỗi ô, trả lời được "cần gì" và "khi nào xem lại"</t>
  </si>
  <si>
    <t>TỔNG</t>
  </si>
  <si>
    <t>THANG ĐIỂM TRÌNH BÀY (1–5 điểm mỗi tiêu chí)</t>
  </si>
  <si>
    <t>Mức 1</t>
  </si>
  <si>
    <t>Mức 3</t>
  </si>
  <si>
    <t>Mức 5</t>
  </si>
  <si>
    <t>Rõ ràng</t>
  </si>
  <si>
    <t>Câu đầu chưa có kết luận; người nghe phải đoán nhóm làm gì trước</t>
  </si>
  <si>
    <t>Có kết luận nhưng nói sau phần mở đầu, hoặc thiếu mốc quyết định</t>
  </si>
  <si>
    <t>Câu đầu có việc làm trước, mục tiêu bằng số và ngày quyết định</t>
  </si>
  <si>
    <t>Bằng chứng</t>
  </si>
  <si>
    <t>Không có cổng đánh giá, hoặc số không có nguồn</t>
  </si>
  <si>
    <t>Có cổng nhưng thiếu cỡ mẫu hoặc căn cứ kinh tế</t>
  </si>
  <si>
    <t>Cổng đủ chỉ số, ngưỡng, cỡ mẫu; căn cứ kinh tế lấy từ số liệu của đề</t>
  </si>
  <si>
    <t>Trả lời phản biện</t>
  </si>
  <si>
    <t>Né câu hỏi hoặc trả lời chung chung</t>
  </si>
  <si>
    <t>Trả lời đúng ý nhưng không dẫn số</t>
  </si>
  <si>
    <t>Trả lời thẳng, dẫn đúng con số trong file</t>
  </si>
  <si>
    <t>Đúng giờ</t>
  </si>
  <si>
    <t>Quá 4 phút</t>
  </si>
  <si>
    <t>Từ 3 đến 4 phút</t>
  </si>
  <si>
    <t>Không quá 3 phút</t>
  </si>
  <si>
    <t>Mức 2 và 4 dùng khi bài nằm giữa hai mô tả. Bản chuẩn của buổi học không có phần trình bày trên lớp: điểm buổi = thang sản phẩm 100 điểm ở trên. Thang trình bày chỉ dùng khi giảng viên tổ chức trình bày.</t>
  </si>
  <si>
    <t>Có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</si>
</sst>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Red]\-#,##0"/>
    <numFmt numFmtId="165" formatCode="0.0"/>
  </numFmts>
  <fonts count="8" x14ac:knownFonts="1">
    <font>
      <sz val="11"/>
      <color theme="1"/>
      <name val="Calibri"/>
      <family val="2"/>
      <charset val="1"/>
    </font>
    <font>
      <b/>
      <sz val="14"/>
      <name val="Cambria"/>
      <charset val="1"/>
    </font>
    <font>
      <i/>
      <sz val="11"/>
      <color rgb="FF595959"/>
      <name val="Cambria"/>
      <charset val="1"/>
    </font>
    <font>
      <b/>
      <sz val="11"/>
      <color rgb="FFFFFFFF"/>
      <name val="Cambria"/>
      <charset val="1"/>
    </font>
    <font>
      <b/>
      <sz val="11"/>
      <name val="Cambria"/>
      <charset val="1"/>
    </font>
    <font>
      <sz val="11"/>
      <name val="Calibri"/>
      <charset val="1"/>
    </font>
    <font>
      <i/>
      <sz val="10"/>
      <color rgb="FF595959"/>
      <name val="Calibri"/>
      <charset val="1"/>
    </font>
    <font>
      <b/>
      <sz val="12"/>
      <name val="Cambria"/>
      <charset val="1"/>
    </font>
  </fonts>
  <fills count="5">
    <fill>
      <patternFill patternType="none"/>
    </fill>
    <fill>
      <patternFill patternType="gray125"/>
    </fill>
    <fill>
      <patternFill patternType="solid">
        <fgColor rgb="FFFFF2CC"/>
        <bgColor rgb="FFE2EFDA"/>
      </patternFill>
    </fill>
    <fill>
      <patternFill patternType="solid">
        <fgColor rgb="FFE2EFDA"/>
        <bgColor rgb="FFFFF2CC"/>
      </patternFill>
    </fill>
    <fill>
      <patternFill patternType="solid">
        <fgColor rgb="FF1F3864"/>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2">
    <xf numFmtId="0" fontId="0" fillId="0" borderId="0" xfId="0"/>
    <xf numFmtId="0" fontId="1" fillId="0" borderId="0" xfId="0" applyFont="1"/>
    <xf numFmtId="0" fontId="2" fillId="0" borderId="0" xfId="0" applyFont="1"/>
    <xf numFmtId="0" fontId="0" fillId="2" borderId="0" xfId="0" applyFill="1"/>
    <xf numFmtId="0" fontId="0" fillId="3" borderId="0" xfId="0" applyFill="1"/>
    <xf numFmtId="0" fontId="3" fillId="4" borderId="0" xfId="0" applyFont="1" applyFill="1" applyAlignment="1">
      <alignment wrapText="1"/>
    </xf>
    <xf numFmtId="0" fontId="0" fillId="0" borderId="1" xfId="0" applyBorder="1" applyAlignment="1">
      <alignment vertical="top" wrapText="1"/>
    </xf>
    <xf numFmtId="0" fontId="0" fillId="2" borderId="1" xfId="0" applyFill="1" applyBorder="1" applyAlignment="1" applyProtection="1">
      <alignment vertical="top" wrapText="1"/>
      <protection locked="0"/>
    </xf>
    <xf numFmtId="0" fontId="4" fillId="0" borderId="0" xfId="0" applyFont="1"/>
    <xf numFmtId="0" fontId="3" fillId="4" borderId="0" xfId="0" applyFont="1" applyFill="1" applyAlignment="1">
      <alignment vertical="center" wrapText="1"/>
    </xf>
    <xf numFmtId="0" fontId="0" fillId="0" borderId="1" xfId="0" applyBorder="1"/>
    <xf numFmtId="0" fontId="0" fillId="3" borderId="1" xfId="0" applyFill="1" applyBorder="1" applyAlignment="1">
      <alignment vertical="top" wrapText="1"/>
    </xf>
    <xf numFmtId="0" fontId="0" fillId="3" borderId="1" xfId="0" applyFill="1" applyBorder="1" applyAlignment="1">
      <alignment horizontal="center"/>
    </xf>
    <xf numFmtId="0" fontId="5" fillId="2" borderId="0" xfId="0" applyFont="1" applyFill="1" applyProtection="1">
      <protection locked="0"/>
    </xf>
    <xf numFmtId="9" fontId="5" fillId="2" borderId="0" xfId="0" applyNumberFormat="1" applyFont="1" applyFill="1" applyProtection="1">
      <protection locked="0"/>
    </xf>
    <xf numFmtId="164" fontId="5" fillId="3" borderId="0" xfId="0" applyNumberFormat="1" applyFont="1" applyFill="1"/>
    <xf numFmtId="9" fontId="5" fillId="3" borderId="0" xfId="0" applyNumberFormat="1" applyFont="1" applyFill="1"/>
    <xf numFmtId="0" fontId="5" fillId="3" borderId="0" xfId="0" applyFont="1" applyFill="1"/>
    <xf numFmtId="0" fontId="5" fillId="0" borderId="0" xfId="0" applyFont="1"/>
    <xf numFmtId="164" fontId="5" fillId="2" borderId="0" xfId="0" applyNumberFormat="1" applyFont="1" applyFill="1" applyProtection="1">
      <protection locked="0"/>
    </xf>
    <xf numFmtId="0" fontId="6" fillId="0" borderId="0" xfId="0" applyFont="1"/>
    <xf numFmtId="165" fontId="5" fillId="2" borderId="0" xfId="0" applyNumberFormat="1" applyFont="1" applyFill="1" applyProtection="1">
      <protection locked="0"/>
    </xf>
    <xf numFmtId="1" fontId="5" fillId="2" borderId="0" xfId="0" applyNumberFormat="1" applyFont="1" applyFill="1" applyProtection="1">
      <protection locked="0"/>
    </xf>
    <xf numFmtId="0" fontId="4" fillId="0" borderId="1" xfId="0" applyFont="1" applyBorder="1" applyAlignment="1">
      <alignment vertical="top" wrapText="1"/>
    </xf>
    <xf numFmtId="0" fontId="4" fillId="0" borderId="1" xfId="0" applyFont="1" applyBorder="1"/>
    <xf numFmtId="1" fontId="5" fillId="3" borderId="0" xfId="0" applyNumberFormat="1" applyFont="1" applyFill="1"/>
    <xf numFmtId="0" fontId="0" fillId="0" borderId="0" xfId="0" applyAlignment="1">
      <alignment vertical="top" wrapText="1"/>
    </xf>
    <xf numFmtId="0" fontId="0" fillId="2" borderId="0" xfId="0" applyFill="1" applyProtection="1">
      <protection locked="0"/>
    </xf>
    <xf numFmtId="0" fontId="7" fillId="0" borderId="0" xfId="0" applyFont="1"/>
    <xf numFmtId="0" fontId="4" fillId="0" borderId="0" xfId="0" applyFont="1" applyAlignment="1">
      <alignment vertical="top" wrapText="1"/>
    </xf>
    <xf numFmtId="0" fontId="5" fillId="0" borderId="0" xfId="0" applyFont="1" applyAlignment="1">
      <alignment vertical="top" wrapText="1"/>
    </xf>
    <xf numFmtId="0" fontId="5" fillId="2" borderId="0" xfId="0" applyFont="1" applyFill="1" applyAlignment="1" applyProtection="1">
      <alignment vertical="top" wrapText="1"/>
      <protection locked="0"/>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zoomScaleNormal="100" workbookViewId="0"/>
  </sheetViews>
  <sheetFormatPr defaultColWidth="8.6640625" defaultRowHeight="14.25" x14ac:dyDescent="0.45"/>
  <cols>
    <col min="1" max="1" width="120" customWidth="1"/>
  </cols>
  <sheetData>
    <row r="1" spans="1:1" ht="17.25" customHeight="1" x14ac:dyDescent="0.45">
      <c r="A1" s="1" t="s">
        <v>0</v>
      </c>
    </row>
    <row r="2" spans="1:1" ht="15" customHeight="1" x14ac:dyDescent="0.45">
      <c r="A2" s="2" t="s">
        <v>1</v>
      </c>
    </row>
    <row r="4" spans="1:1" ht="15" customHeight="1" x14ac:dyDescent="0.45">
      <c r="A4" t="s">
        <v>2</v>
      </c>
    </row>
    <row r="5" spans="1:1" ht="15" customHeight="1" x14ac:dyDescent="0.45">
      <c r="A5" t="s">
        <v>3</v>
      </c>
    </row>
    <row r="6" spans="1:1" ht="15" customHeight="1" x14ac:dyDescent="0.45">
      <c r="A6" t="s">
        <v>4</v>
      </c>
    </row>
    <row r="7" spans="1:1" ht="15" customHeight="1" x14ac:dyDescent="0.45">
      <c r="A7" t="s">
        <v>5</v>
      </c>
    </row>
    <row r="8" spans="1:1" ht="15" customHeight="1" x14ac:dyDescent="0.45">
      <c r="A8" t="s">
        <v>6</v>
      </c>
    </row>
    <row r="9" spans="1:1" ht="15" customHeight="1" x14ac:dyDescent="0.45">
      <c r="A9" t="s">
        <v>7</v>
      </c>
    </row>
    <row r="11" spans="1:1" ht="15" customHeight="1" x14ac:dyDescent="0.45">
      <c r="A11" t="s">
        <v>8</v>
      </c>
    </row>
    <row r="12" spans="1:1" ht="15" customHeight="1" x14ac:dyDescent="0.45">
      <c r="A12" s="3" t="s">
        <v>9</v>
      </c>
    </row>
    <row r="13" spans="1:1" ht="15" customHeight="1" x14ac:dyDescent="0.45">
      <c r="A13" s="4" t="s">
        <v>10</v>
      </c>
    </row>
  </sheetData>
  <sheetProtection sheet="1" formatColumns="0" formatRows="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zoomScaleNormal="100" workbookViewId="0">
      <selection activeCell="D17" sqref="D17"/>
    </sheetView>
  </sheetViews>
  <sheetFormatPr defaultColWidth="8.6640625" defaultRowHeight="14.25" x14ac:dyDescent="0.45"/>
  <cols>
    <col min="1" max="1" width="52" customWidth="1"/>
    <col min="2" max="2" width="14" customWidth="1"/>
    <col min="3" max="4" width="46" customWidth="1"/>
    <col min="5" max="5" width="36" customWidth="1"/>
  </cols>
  <sheetData>
    <row r="1" spans="1:5" ht="17.25" customHeight="1" x14ac:dyDescent="0.45">
      <c r="A1" s="1" t="s">
        <v>11</v>
      </c>
    </row>
    <row r="2" spans="1:5" ht="15" customHeight="1" x14ac:dyDescent="0.45">
      <c r="A2" s="2" t="s">
        <v>12</v>
      </c>
    </row>
    <row r="4" spans="1:5" ht="26.25" customHeight="1" x14ac:dyDescent="0.45">
      <c r="A4" s="5" t="s">
        <v>13</v>
      </c>
      <c r="B4" s="5" t="s">
        <v>14</v>
      </c>
      <c r="C4" s="5" t="s">
        <v>15</v>
      </c>
      <c r="D4" s="5" t="s">
        <v>16</v>
      </c>
      <c r="E4" s="5" t="s">
        <v>17</v>
      </c>
    </row>
    <row r="5" spans="1:5" ht="33.75" customHeight="1" x14ac:dyDescent="0.45">
      <c r="A5" s="6" t="s">
        <v>18</v>
      </c>
      <c r="B5" s="7" t="s">
        <v>284</v>
      </c>
      <c r="C5" s="6" t="s">
        <v>19</v>
      </c>
      <c r="D5" s="6" t="s">
        <v>20</v>
      </c>
      <c r="E5" s="7"/>
    </row>
    <row r="6" spans="1:5" ht="33.75" customHeight="1" x14ac:dyDescent="0.45">
      <c r="A6" s="6" t="s">
        <v>21</v>
      </c>
      <c r="B6" s="7" t="s">
        <v>284</v>
      </c>
      <c r="C6" s="6" t="s">
        <v>22</v>
      </c>
      <c r="D6" s="6" t="s">
        <v>23</v>
      </c>
      <c r="E6" s="7"/>
    </row>
    <row r="7" spans="1:5" ht="33.75" customHeight="1" x14ac:dyDescent="0.45">
      <c r="A7" s="6" t="s">
        <v>24</v>
      </c>
      <c r="B7" s="7" t="s">
        <v>284</v>
      </c>
      <c r="C7" s="6" t="s">
        <v>25</v>
      </c>
      <c r="D7" s="6" t="s">
        <v>26</v>
      </c>
      <c r="E7" s="7"/>
    </row>
    <row r="8" spans="1:5" ht="33.75" customHeight="1" x14ac:dyDescent="0.45">
      <c r="A8" s="6" t="s">
        <v>27</v>
      </c>
      <c r="B8" s="7" t="s">
        <v>284</v>
      </c>
      <c r="C8" s="6" t="s">
        <v>28</v>
      </c>
      <c r="D8" s="6" t="s">
        <v>29</v>
      </c>
      <c r="E8" s="7"/>
    </row>
    <row r="9" spans="1:5" ht="33.75" customHeight="1" x14ac:dyDescent="0.45">
      <c r="A9" s="6" t="s">
        <v>30</v>
      </c>
      <c r="B9" s="7" t="s">
        <v>284</v>
      </c>
      <c r="C9" s="6" t="s">
        <v>31</v>
      </c>
      <c r="D9" s="6" t="s">
        <v>32</v>
      </c>
      <c r="E9" s="7"/>
    </row>
    <row r="10" spans="1:5" ht="33.75" customHeight="1" x14ac:dyDescent="0.45">
      <c r="A10" s="6" t="s">
        <v>33</v>
      </c>
      <c r="B10" s="7" t="s">
        <v>284</v>
      </c>
      <c r="C10" s="6" t="s">
        <v>34</v>
      </c>
      <c r="D10" s="6" t="s">
        <v>35</v>
      </c>
      <c r="E10" s="7"/>
    </row>
    <row r="12" spans="1:5" ht="15" customHeight="1" x14ac:dyDescent="0.45">
      <c r="A12" s="8" t="s">
        <v>36</v>
      </c>
      <c r="B12" s="4">
        <f>COUNTIF(B5:B10,"Có")</f>
        <v>6</v>
      </c>
    </row>
    <row r="13" spans="1:5" ht="15" customHeight="1" x14ac:dyDescent="0.45">
      <c r="A13" s="2" t="s">
        <v>37</v>
      </c>
    </row>
  </sheetData>
  <sheetProtection sheet="1" formatColumns="0" formatRows="0"/>
  <dataValidations count="1">
    <dataValidation type="list" allowBlank="1" sqref="B5:B10" xr:uid="{00000000-0002-0000-0100-000000000000}">
      <formula1>"Có,Chưa"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4"/>
  <sheetViews>
    <sheetView zoomScaleNormal="100" workbookViewId="0">
      <selection activeCell="E10" sqref="E10"/>
    </sheetView>
  </sheetViews>
  <sheetFormatPr defaultColWidth="8.6640625" defaultRowHeight="14.25" x14ac:dyDescent="0.45"/>
  <cols>
    <col min="1" max="1" width="4" customWidth="1"/>
    <col min="2" max="2" width="30" customWidth="1"/>
    <col min="3" max="3" width="28" customWidth="1"/>
    <col min="4" max="4" width="38" customWidth="1"/>
    <col min="5" max="5" width="32" customWidth="1"/>
    <col min="6" max="7" width="8" customWidth="1"/>
    <col min="8" max="8" width="11" customWidth="1"/>
    <col min="9" max="9" width="8" customWidth="1"/>
    <col min="10" max="10" width="11" customWidth="1"/>
    <col min="11" max="11" width="10" customWidth="1"/>
    <col min="12" max="12" width="13" customWidth="1"/>
    <col min="13" max="14" width="10" customWidth="1"/>
    <col min="15" max="15" width="12" customWidth="1"/>
    <col min="16" max="16" width="14" customWidth="1"/>
    <col min="17" max="17" width="58" customWidth="1"/>
  </cols>
  <sheetData>
    <row r="1" spans="1:17" ht="17.25" customHeight="1" x14ac:dyDescent="0.45">
      <c r="A1" s="1" t="s">
        <v>38</v>
      </c>
    </row>
    <row r="2" spans="1:17" ht="15" customHeight="1" x14ac:dyDescent="0.45">
      <c r="A2" s="2" t="s">
        <v>39</v>
      </c>
    </row>
    <row r="4" spans="1:17" ht="39" customHeight="1" x14ac:dyDescent="0.45">
      <c r="A4" s="9" t="s">
        <v>40</v>
      </c>
      <c r="B4" s="9" t="s">
        <v>41</v>
      </c>
      <c r="C4" s="9" t="s">
        <v>42</v>
      </c>
      <c r="D4" s="9" t="s">
        <v>43</v>
      </c>
      <c r="E4" s="9" t="s">
        <v>44</v>
      </c>
      <c r="F4" s="9" t="s">
        <v>45</v>
      </c>
      <c r="G4" s="9" t="s">
        <v>46</v>
      </c>
      <c r="H4" s="9" t="s">
        <v>47</v>
      </c>
      <c r="I4" s="9" t="s">
        <v>48</v>
      </c>
      <c r="J4" s="9" t="s">
        <v>49</v>
      </c>
      <c r="K4" s="9" t="s">
        <v>50</v>
      </c>
      <c r="L4" s="9" t="s">
        <v>51</v>
      </c>
      <c r="M4" s="9" t="s">
        <v>52</v>
      </c>
      <c r="N4" s="9" t="s">
        <v>53</v>
      </c>
      <c r="O4" s="9" t="s">
        <v>54</v>
      </c>
      <c r="P4" s="9" t="s">
        <v>55</v>
      </c>
      <c r="Q4" s="9" t="s">
        <v>56</v>
      </c>
    </row>
    <row r="5" spans="1:17" ht="34.5" customHeight="1" x14ac:dyDescent="0.45">
      <c r="A5" s="10">
        <v>1</v>
      </c>
      <c r="B5" s="7" t="s">
        <v>57</v>
      </c>
      <c r="C5" s="7" t="s">
        <v>58</v>
      </c>
      <c r="D5" s="7" t="s">
        <v>59</v>
      </c>
      <c r="E5" s="7" t="s">
        <v>60</v>
      </c>
      <c r="F5" s="7">
        <v>5</v>
      </c>
      <c r="G5" s="7">
        <v>5</v>
      </c>
      <c r="H5" s="7">
        <v>0.8</v>
      </c>
      <c r="I5" s="7">
        <v>2</v>
      </c>
      <c r="J5" s="7">
        <v>0.6</v>
      </c>
      <c r="K5" s="7">
        <v>0.3</v>
      </c>
      <c r="L5" s="7">
        <v>0.4</v>
      </c>
      <c r="M5" s="11">
        <f t="shared" ref="M5:M14" si="0">IF(COUNT(F5:L5)&lt;7,"",ROUND(F5*G5*H5/I5*(0.5+0.5*AVERAGE(J5:K5))*(1-0.5*L5),2))</f>
        <v>5.8</v>
      </c>
      <c r="N5" s="11">
        <f t="shared" ref="N5:N14" si="1">IF(M5="","",RANK(M5,$M$5:$M$14))</f>
        <v>1</v>
      </c>
      <c r="O5" s="12" t="str">
        <f>IF(B5="","",IF(OR(D5="",E5=""),"Thiếu",IF(SUMPRODUCT(--ISNUMBER(SEARCH({"0","1","2","3","4","5","6","7","8","9"},E5)))&gt;0,"Có","Thiếu")))</f>
        <v>Có</v>
      </c>
      <c r="P5" s="31" t="s">
        <v>61</v>
      </c>
      <c r="Q5" s="31" t="s">
        <v>62</v>
      </c>
    </row>
    <row r="6" spans="1:17" ht="23.25" customHeight="1" x14ac:dyDescent="0.45">
      <c r="A6" s="10">
        <v>2</v>
      </c>
      <c r="B6" s="7" t="s">
        <v>63</v>
      </c>
      <c r="C6" s="7" t="s">
        <v>64</v>
      </c>
      <c r="D6" s="7" t="s">
        <v>65</v>
      </c>
      <c r="E6" s="7" t="s">
        <v>66</v>
      </c>
      <c r="F6" s="7">
        <v>4</v>
      </c>
      <c r="G6" s="7">
        <v>4</v>
      </c>
      <c r="H6" s="7">
        <v>0.5</v>
      </c>
      <c r="I6" s="7">
        <v>3</v>
      </c>
      <c r="J6" s="7">
        <v>0.6</v>
      </c>
      <c r="K6" s="7">
        <v>0.3</v>
      </c>
      <c r="L6" s="7">
        <v>0.5</v>
      </c>
      <c r="M6" s="11">
        <f t="shared" si="0"/>
        <v>1.45</v>
      </c>
      <c r="N6" s="11">
        <f t="shared" si="1"/>
        <v>4</v>
      </c>
      <c r="O6" s="12" t="str">
        <f>IF(B6="","",IF(OR(D6="",E6=""),"Thiếu",IF(SUMPRODUCT(--ISNUMBER(SEARCH({"0","1","2","3","4","5","6","7","8","9"},E6)))&gt;0,"Có","Thiếu")))</f>
        <v>Có</v>
      </c>
      <c r="P6" s="31" t="s">
        <v>61</v>
      </c>
      <c r="Q6" s="31" t="s">
        <v>67</v>
      </c>
    </row>
    <row r="7" spans="1:17" ht="23.25" customHeight="1" x14ac:dyDescent="0.45">
      <c r="A7" s="10">
        <v>3</v>
      </c>
      <c r="B7" s="7" t="s">
        <v>68</v>
      </c>
      <c r="C7" s="7" t="s">
        <v>69</v>
      </c>
      <c r="D7" s="7" t="s">
        <v>70</v>
      </c>
      <c r="E7" s="7" t="s">
        <v>71</v>
      </c>
      <c r="F7" s="7">
        <v>4</v>
      </c>
      <c r="G7" s="7">
        <v>5</v>
      </c>
      <c r="H7" s="7">
        <v>0.8</v>
      </c>
      <c r="I7" s="7">
        <v>3</v>
      </c>
      <c r="J7" s="7">
        <v>0.6</v>
      </c>
      <c r="K7" s="7">
        <v>0.3</v>
      </c>
      <c r="L7" s="7">
        <v>0.1</v>
      </c>
      <c r="M7" s="11">
        <f t="shared" si="0"/>
        <v>3.67</v>
      </c>
      <c r="N7" s="11">
        <f t="shared" si="1"/>
        <v>2</v>
      </c>
      <c r="O7" s="12" t="str">
        <f>IF(B7="","",IF(OR(D7="",E7=""),"Thiếu",IF(SUMPRODUCT(--ISNUMBER(SEARCH({"0","1","2","3","4","5","6","7","8","9"},E7)))&gt;0,"Có","Thiếu")))</f>
        <v>Có</v>
      </c>
      <c r="P7" s="31" t="s">
        <v>61</v>
      </c>
      <c r="Q7" s="31" t="s">
        <v>72</v>
      </c>
    </row>
    <row r="8" spans="1:17" ht="23.25" customHeight="1" x14ac:dyDescent="0.45">
      <c r="A8" s="10">
        <v>4</v>
      </c>
      <c r="B8" s="7" t="s">
        <v>73</v>
      </c>
      <c r="C8" s="7" t="s">
        <v>74</v>
      </c>
      <c r="D8" s="7" t="s">
        <v>75</v>
      </c>
      <c r="E8" s="7" t="s">
        <v>76</v>
      </c>
      <c r="F8" s="7">
        <v>5</v>
      </c>
      <c r="G8" s="7">
        <v>2</v>
      </c>
      <c r="H8" s="7">
        <v>1</v>
      </c>
      <c r="I8" s="7">
        <v>2</v>
      </c>
      <c r="J8" s="7">
        <v>0.8</v>
      </c>
      <c r="K8" s="7">
        <v>0.2</v>
      </c>
      <c r="L8" s="7">
        <v>0.9</v>
      </c>
      <c r="M8" s="11">
        <f t="shared" si="0"/>
        <v>2.06</v>
      </c>
      <c r="N8" s="11">
        <f t="shared" si="1"/>
        <v>3</v>
      </c>
      <c r="O8" s="12" t="str">
        <f>IF(B8="","",IF(OR(D8="",E8=""),"Thiếu",IF(SUMPRODUCT(--ISNUMBER(SEARCH({"0","1","2","3","4","5","6","7","8","9"},E8)))&gt;0,"Có","Thiếu")))</f>
        <v>Có</v>
      </c>
      <c r="P8" s="31" t="s">
        <v>77</v>
      </c>
      <c r="Q8" s="31" t="s">
        <v>78</v>
      </c>
    </row>
    <row r="9" spans="1:17" ht="23.25" customHeight="1" x14ac:dyDescent="0.45">
      <c r="A9" s="10">
        <v>5</v>
      </c>
      <c r="B9" s="7" t="s">
        <v>79</v>
      </c>
      <c r="C9" s="7" t="s">
        <v>80</v>
      </c>
      <c r="D9" s="7" t="s">
        <v>81</v>
      </c>
      <c r="E9" s="7" t="s">
        <v>82</v>
      </c>
      <c r="F9" s="7">
        <v>3</v>
      </c>
      <c r="G9" s="7">
        <v>4</v>
      </c>
      <c r="H9" s="7">
        <v>0.5</v>
      </c>
      <c r="I9" s="7">
        <v>4</v>
      </c>
      <c r="J9" s="7">
        <v>0.2</v>
      </c>
      <c r="K9" s="7">
        <v>0</v>
      </c>
      <c r="L9" s="7">
        <v>0.3</v>
      </c>
      <c r="M9" s="11">
        <f t="shared" si="0"/>
        <v>0.7</v>
      </c>
      <c r="N9" s="11">
        <f t="shared" si="1"/>
        <v>6</v>
      </c>
      <c r="O9" s="12" t="str">
        <f>IF(B9="","",IF(OR(D9="",E9=""),"Thiếu",IF(SUMPRODUCT(--ISNUMBER(SEARCH({"0","1","2","3","4","5","6","7","8","9"},E9)))&gt;0,"Có","Thiếu")))</f>
        <v>Có</v>
      </c>
      <c r="P9" s="31" t="s">
        <v>83</v>
      </c>
      <c r="Q9" s="31" t="s">
        <v>84</v>
      </c>
    </row>
    <row r="10" spans="1:17" ht="23.25" customHeight="1" x14ac:dyDescent="0.45">
      <c r="A10" s="10">
        <v>6</v>
      </c>
      <c r="B10" s="7" t="s">
        <v>85</v>
      </c>
      <c r="C10" s="7" t="s">
        <v>86</v>
      </c>
      <c r="D10" s="7" t="s">
        <v>87</v>
      </c>
      <c r="E10" s="7" t="s">
        <v>88</v>
      </c>
      <c r="F10" s="7">
        <v>2</v>
      </c>
      <c r="G10" s="7">
        <v>2</v>
      </c>
      <c r="H10" s="7">
        <v>0.8</v>
      </c>
      <c r="I10" s="7">
        <v>1</v>
      </c>
      <c r="J10" s="7">
        <v>0.8</v>
      </c>
      <c r="K10" s="7">
        <v>0.1</v>
      </c>
      <c r="L10" s="7">
        <v>0.9</v>
      </c>
      <c r="M10" s="11">
        <f t="shared" si="0"/>
        <v>1.28</v>
      </c>
      <c r="N10" s="11">
        <f t="shared" si="1"/>
        <v>5</v>
      </c>
      <c r="O10" s="12" t="str">
        <f>IF(B10="","",IF(OR(D10="",E10=""),"Thiếu",IF(SUMPRODUCT(--ISNUMBER(SEARCH({"0","1","2","3","4","5","6","7","8","9"},E10)))&gt;0,"Có","Thiếu")))</f>
        <v>Có</v>
      </c>
      <c r="P10" s="31" t="s">
        <v>89</v>
      </c>
      <c r="Q10" s="31" t="s">
        <v>90</v>
      </c>
    </row>
    <row r="11" spans="1:17" ht="15" customHeight="1" x14ac:dyDescent="0.45">
      <c r="A11" s="10">
        <v>7</v>
      </c>
      <c r="B11" s="7"/>
      <c r="C11" s="7"/>
      <c r="D11" s="7"/>
      <c r="E11" s="7"/>
      <c r="F11" s="7"/>
      <c r="G11" s="7"/>
      <c r="H11" s="7"/>
      <c r="I11" s="7"/>
      <c r="J11" s="7"/>
      <c r="K11" s="7"/>
      <c r="L11" s="7"/>
      <c r="M11" s="11" t="str">
        <f t="shared" si="0"/>
        <v/>
      </c>
      <c r="N11" s="11" t="str">
        <f t="shared" si="1"/>
        <v/>
      </c>
      <c r="O11" s="12" t="str">
        <f>IF(B11="","",IF(OR(D11="",E11=""),"Thiếu",IF(SUMPRODUCT(--ISNUMBER(SEARCH({"0","1","2","3","4","5","6","7","8","9"},E11)))&gt;0,"Có","Thiếu")))</f>
        <v/>
      </c>
      <c r="P11" s="13"/>
      <c r="Q11" s="13"/>
    </row>
    <row r="12" spans="1:17" ht="15" customHeight="1" x14ac:dyDescent="0.45">
      <c r="A12" s="10">
        <v>8</v>
      </c>
      <c r="B12" s="7"/>
      <c r="C12" s="7"/>
      <c r="D12" s="7"/>
      <c r="E12" s="7"/>
      <c r="F12" s="7"/>
      <c r="G12" s="7"/>
      <c r="H12" s="7"/>
      <c r="I12" s="7"/>
      <c r="J12" s="7"/>
      <c r="K12" s="7"/>
      <c r="L12" s="7"/>
      <c r="M12" s="11" t="str">
        <f t="shared" si="0"/>
        <v/>
      </c>
      <c r="N12" s="11" t="str">
        <f t="shared" si="1"/>
        <v/>
      </c>
      <c r="O12" s="12" t="str">
        <f>IF(B12="","",IF(OR(D12="",E12=""),"Thiếu",IF(SUMPRODUCT(--ISNUMBER(SEARCH({"0","1","2","3","4","5","6","7","8","9"},E12)))&gt;0,"Có","Thiếu")))</f>
        <v/>
      </c>
      <c r="P12" s="13"/>
      <c r="Q12" s="13"/>
    </row>
    <row r="13" spans="1:17" ht="15" customHeight="1" x14ac:dyDescent="0.45">
      <c r="A13" s="10">
        <v>9</v>
      </c>
      <c r="B13" s="7"/>
      <c r="C13" s="7"/>
      <c r="D13" s="7"/>
      <c r="E13" s="7"/>
      <c r="F13" s="7"/>
      <c r="G13" s="7"/>
      <c r="H13" s="7"/>
      <c r="I13" s="7"/>
      <c r="J13" s="7"/>
      <c r="K13" s="7"/>
      <c r="L13" s="7"/>
      <c r="M13" s="11" t="str">
        <f t="shared" si="0"/>
        <v/>
      </c>
      <c r="N13" s="11" t="str">
        <f t="shared" si="1"/>
        <v/>
      </c>
      <c r="O13" s="12" t="str">
        <f>IF(B13="","",IF(OR(D13="",E13=""),"Thiếu",IF(SUMPRODUCT(--ISNUMBER(SEARCH({"0","1","2","3","4","5","6","7","8","9"},E13)))&gt;0,"Có","Thiếu")))</f>
        <v/>
      </c>
      <c r="P13" s="13"/>
      <c r="Q13" s="13"/>
    </row>
    <row r="14" spans="1:17" ht="15" customHeight="1" x14ac:dyDescent="0.45">
      <c r="A14" s="10">
        <v>10</v>
      </c>
      <c r="B14" s="7"/>
      <c r="C14" s="7"/>
      <c r="D14" s="7"/>
      <c r="E14" s="7"/>
      <c r="F14" s="7"/>
      <c r="G14" s="7"/>
      <c r="H14" s="7"/>
      <c r="I14" s="7"/>
      <c r="J14" s="7"/>
      <c r="K14" s="7"/>
      <c r="L14" s="7"/>
      <c r="M14" s="11" t="str">
        <f t="shared" si="0"/>
        <v/>
      </c>
      <c r="N14" s="11" t="str">
        <f t="shared" si="1"/>
        <v/>
      </c>
      <c r="O14" s="12" t="str">
        <f>IF(B14="","",IF(OR(D14="",E14=""),"Thiếu",IF(SUMPRODUCT(--ISNUMBER(SEARCH({"0","1","2","3","4","5","6","7","8","9"},E14)))&gt;0,"Có","Thiếu")))</f>
        <v/>
      </c>
      <c r="P14" s="13"/>
      <c r="Q14" s="13"/>
    </row>
  </sheetData>
  <sheetProtection sheet="1" formatColumns="0" formatRows="0"/>
  <dataValidations count="4">
    <dataValidation type="whole" allowBlank="1" showErrorMessage="1" errorTitle="Ngoài thang điểm" error="Nhập số nguyên từ 1 đến 5." sqref="F5:G14 I5:I14" xr:uid="{00000000-0002-0000-0200-000000000000}">
      <formula1>1</formula1>
      <formula2>5</formula2>
    </dataValidation>
    <dataValidation type="decimal" allowBlank="1" showErrorMessage="1" errorTitle="Mức tự tin" error="Dùng 0,5 (đoán), 0,8 (có dấu hiệu) hoặc 1 (có số liệu)." sqref="H5:H14" xr:uid="{00000000-0002-0000-0200-000001000000}">
      <formula1>0.5</formula1>
      <formula2>1</formula2>
    </dataValidation>
    <dataValidation type="decimal" allowBlank="1" showErrorMessage="1" errorTitle="Ngoài thang 0–1" error="Nhập số từ 0 đến 1, ví dụ 0,6." sqref="J5:L14" xr:uid="{00000000-0002-0000-0200-000002000000}">
      <formula1>0</formula1>
      <formula2>1</formula2>
    </dataValidation>
    <dataValidation type="list" allowBlank="1" sqref="P5:P14" xr:uid="{00000000-0002-0000-0200-000003000000}">
      <formula1>"Tự làm,Mua,Chờ,Không làm"</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3"/>
  <sheetViews>
    <sheetView topLeftCell="E1" zoomScaleNormal="100" workbookViewId="0"/>
  </sheetViews>
  <sheetFormatPr defaultColWidth="8.6640625" defaultRowHeight="14.25" x14ac:dyDescent="0.45"/>
  <cols>
    <col min="1" max="1" width="6" customWidth="1"/>
    <col min="2" max="2" width="20" customWidth="1"/>
    <col min="3" max="3" width="34" customWidth="1"/>
    <col min="4" max="4" width="30" customWidth="1"/>
    <col min="5" max="5" width="44" customWidth="1"/>
    <col min="6" max="6" width="36" customWidth="1"/>
    <col min="7" max="8" width="12" customWidth="1"/>
    <col min="9" max="9" width="18" customWidth="1"/>
    <col min="10" max="10" width="14" customWidth="1"/>
    <col min="11" max="11" width="12" customWidth="1"/>
    <col min="12" max="12" width="13" customWidth="1"/>
    <col min="13" max="13" width="11" customWidth="1"/>
  </cols>
  <sheetData>
    <row r="1" spans="1:13" ht="17.25" customHeight="1" x14ac:dyDescent="0.45">
      <c r="A1" s="1" t="s">
        <v>91</v>
      </c>
    </row>
    <row r="2" spans="1:13" ht="15" customHeight="1" x14ac:dyDescent="0.45">
      <c r="A2" s="2" t="s">
        <v>92</v>
      </c>
    </row>
    <row r="4" spans="1:13" ht="26.25" customHeight="1" x14ac:dyDescent="0.45">
      <c r="A4" s="9" t="s">
        <v>93</v>
      </c>
      <c r="B4" s="9" t="s">
        <v>94</v>
      </c>
      <c r="C4" s="9" t="s">
        <v>95</v>
      </c>
      <c r="D4" s="9" t="s">
        <v>96</v>
      </c>
      <c r="E4" s="9" t="s">
        <v>97</v>
      </c>
      <c r="F4" s="9" t="s">
        <v>98</v>
      </c>
      <c r="G4" s="9" t="s">
        <v>99</v>
      </c>
      <c r="H4" s="9" t="s">
        <v>100</v>
      </c>
      <c r="I4" s="9" t="s">
        <v>101</v>
      </c>
      <c r="J4" s="9" t="s">
        <v>102</v>
      </c>
      <c r="K4" s="9" t="s">
        <v>103</v>
      </c>
      <c r="L4" s="9" t="s">
        <v>104</v>
      </c>
      <c r="M4" s="9" t="s">
        <v>105</v>
      </c>
    </row>
    <row r="5" spans="1:13" ht="48" customHeight="1" x14ac:dyDescent="0.45">
      <c r="A5" s="10">
        <v>0</v>
      </c>
      <c r="B5" s="7" t="s">
        <v>106</v>
      </c>
      <c r="C5" s="7" t="s">
        <v>107</v>
      </c>
      <c r="D5" s="7" t="s">
        <v>108</v>
      </c>
      <c r="E5" s="7" t="s">
        <v>109</v>
      </c>
      <c r="F5" s="7" t="s">
        <v>110</v>
      </c>
      <c r="G5" s="7" t="s">
        <v>111</v>
      </c>
      <c r="H5" s="14">
        <v>1</v>
      </c>
      <c r="I5" s="13" t="s">
        <v>112</v>
      </c>
      <c r="J5" s="15">
        <f>IF(H5="","",$B$12+$B$13+IF(I5="Người của mình",H5*$B$14*$B$15/60,0))</f>
        <v>7019</v>
      </c>
      <c r="K5" s="16">
        <f>IF(J5="","",IFERROR(($B$16-$B$17*J5)/$B$16,""))</f>
        <v>-0.3472168905950096</v>
      </c>
      <c r="L5" s="17" t="str">
        <f>IF(K5="","",IF(K5&gt;=0.6,"Đạt","Dưới ngưỡng"))</f>
        <v>Dưới ngưỡng</v>
      </c>
    </row>
    <row r="6" spans="1:13" ht="48" customHeight="1" x14ac:dyDescent="0.45">
      <c r="A6" s="10">
        <v>1</v>
      </c>
      <c r="B6" s="7" t="s">
        <v>113</v>
      </c>
      <c r="C6" s="7" t="s">
        <v>114</v>
      </c>
      <c r="D6" s="7" t="s">
        <v>115</v>
      </c>
      <c r="E6" s="7" t="s">
        <v>116</v>
      </c>
      <c r="F6" s="7" t="s">
        <v>117</v>
      </c>
      <c r="G6" s="7" t="s">
        <v>118</v>
      </c>
      <c r="H6" s="14">
        <v>0.3</v>
      </c>
      <c r="I6" s="13" t="s">
        <v>112</v>
      </c>
      <c r="J6" s="15">
        <f>IF(H6="","",$B$12+$B$13+IF(I6="Người của mình",H6*$B$14*$B$15/60,0))</f>
        <v>2819</v>
      </c>
      <c r="K6" s="16">
        <f>IF(J6="","",IFERROR(($B$16-$B$17*J6)/$B$16,""))</f>
        <v>0.45892514395393474</v>
      </c>
      <c r="L6" s="17" t="str">
        <f>IF(K6="","",IF(K6&gt;=0.6,"Đạt","Dưới ngưỡng"))</f>
        <v>Dưới ngưỡng</v>
      </c>
      <c r="M6" s="17" t="str">
        <f>IF(E6="","",IF(SUMPRODUCT(--ISNUMBER(SEARCH({"0","1","2","3","4","5","6","7","8","9"},E6)))&gt;0,"Có","Thiếu"))</f>
        <v>Có</v>
      </c>
    </row>
    <row r="7" spans="1:13" ht="48" customHeight="1" x14ac:dyDescent="0.45">
      <c r="A7" s="10">
        <v>2</v>
      </c>
      <c r="B7" s="7" t="s">
        <v>119</v>
      </c>
      <c r="C7" s="7" t="s">
        <v>120</v>
      </c>
      <c r="D7" s="7" t="s">
        <v>121</v>
      </c>
      <c r="E7" s="7" t="s">
        <v>122</v>
      </c>
      <c r="F7" s="7" t="s">
        <v>123</v>
      </c>
      <c r="G7" s="7" t="s">
        <v>124</v>
      </c>
      <c r="H7" s="14">
        <v>0.15</v>
      </c>
      <c r="I7" s="13" t="s">
        <v>112</v>
      </c>
      <c r="J7" s="15">
        <f>IF(H7="","",$B$12+$B$13+IF(I7="Người của mình",H7*$B$14*$B$15/60,0))</f>
        <v>1919</v>
      </c>
      <c r="K7" s="16">
        <f>IF(J7="","",IFERROR(($B$16-$B$17*J7)/$B$16,""))</f>
        <v>0.63166986564299421</v>
      </c>
      <c r="L7" s="17" t="str">
        <f>IF(K7="","",IF(K7&gt;=0.6,"Đạt","Dưới ngưỡng"))</f>
        <v>Đạt</v>
      </c>
      <c r="M7" s="17" t="str">
        <f>IF(E7="","",IF(SUMPRODUCT(--ISNUMBER(SEARCH({"0","1","2","3","4","5","6","7","8","9"},E7)))&gt;0,"Có","Thiếu"))</f>
        <v>Có</v>
      </c>
    </row>
    <row r="8" spans="1:13" ht="48" customHeight="1" x14ac:dyDescent="0.45">
      <c r="A8" s="10">
        <v>3</v>
      </c>
      <c r="B8" s="7" t="s">
        <v>125</v>
      </c>
      <c r="C8" s="7" t="s">
        <v>126</v>
      </c>
      <c r="D8" s="7" t="s">
        <v>127</v>
      </c>
      <c r="E8" s="7" t="s">
        <v>128</v>
      </c>
      <c r="F8" s="7" t="s">
        <v>129</v>
      </c>
      <c r="G8" s="7" t="s">
        <v>130</v>
      </c>
      <c r="H8" s="14">
        <v>0.08</v>
      </c>
      <c r="I8" s="13" t="s">
        <v>112</v>
      </c>
      <c r="J8" s="15">
        <f>IF(H8="","",$B$12+$B$13+IF(I8="Người của mình",H8*$B$14*$B$15/60,0))</f>
        <v>1499</v>
      </c>
      <c r="K8" s="16">
        <f>IF(J8="","",IFERROR(($B$16-$B$17*J8)/$B$16,""))</f>
        <v>0.71228406909788866</v>
      </c>
      <c r="L8" s="17" t="str">
        <f>IF(K8="","",IF(K8&gt;=0.6,"Đạt","Dưới ngưỡng"))</f>
        <v>Đạt</v>
      </c>
      <c r="M8" s="17" t="str">
        <f>IF(E8="","",IF(SUMPRODUCT(--ISNUMBER(SEARCH({"0","1","2","3","4","5","6","7","8","9"},E8)))&gt;0,"Có","Thiếu"))</f>
        <v>Có</v>
      </c>
    </row>
    <row r="11" spans="1:13" ht="15" customHeight="1" x14ac:dyDescent="0.45">
      <c r="A11" s="8" t="s">
        <v>131</v>
      </c>
    </row>
    <row r="12" spans="1:13" ht="15" customHeight="1" x14ac:dyDescent="0.45">
      <c r="A12" s="18" t="s">
        <v>132</v>
      </c>
      <c r="B12" s="19">
        <v>769</v>
      </c>
      <c r="C12" s="20" t="s">
        <v>133</v>
      </c>
    </row>
    <row r="13" spans="1:13" ht="15" customHeight="1" x14ac:dyDescent="0.45">
      <c r="A13" s="18" t="s">
        <v>134</v>
      </c>
      <c r="B13" s="19">
        <v>250</v>
      </c>
      <c r="C13" s="20" t="s">
        <v>135</v>
      </c>
    </row>
    <row r="14" spans="1:13" ht="15" customHeight="1" x14ac:dyDescent="0.45">
      <c r="A14" s="18" t="s">
        <v>136</v>
      </c>
      <c r="B14" s="21">
        <v>3</v>
      </c>
      <c r="C14" s="20" t="s">
        <v>137</v>
      </c>
    </row>
    <row r="15" spans="1:13" ht="15" customHeight="1" x14ac:dyDescent="0.45">
      <c r="A15" s="18" t="s">
        <v>138</v>
      </c>
      <c r="B15" s="19">
        <v>120000</v>
      </c>
      <c r="C15" s="20" t="s">
        <v>139</v>
      </c>
    </row>
    <row r="16" spans="1:13" ht="15" customHeight="1" x14ac:dyDescent="0.45">
      <c r="A16" s="18" t="s">
        <v>140</v>
      </c>
      <c r="B16" s="19">
        <v>5210000</v>
      </c>
      <c r="C16" s="20" t="s">
        <v>141</v>
      </c>
    </row>
    <row r="17" spans="1:3" ht="15" customHeight="1" x14ac:dyDescent="0.45">
      <c r="A17" s="18" t="s">
        <v>142</v>
      </c>
      <c r="B17" s="19">
        <v>1000</v>
      </c>
      <c r="C17" s="20" t="s">
        <v>143</v>
      </c>
    </row>
    <row r="18" spans="1:3" ht="15" customHeight="1" x14ac:dyDescent="0.45">
      <c r="A18" s="18" t="s">
        <v>144</v>
      </c>
      <c r="B18" s="13" t="s">
        <v>145</v>
      </c>
      <c r="C18" s="20" t="s">
        <v>146</v>
      </c>
    </row>
    <row r="19" spans="1:3" ht="15" customHeight="1" x14ac:dyDescent="0.45">
      <c r="A19" s="18" t="s">
        <v>147</v>
      </c>
      <c r="B19" s="13" t="s">
        <v>148</v>
      </c>
      <c r="C19" s="20" t="s">
        <v>149</v>
      </c>
    </row>
    <row r="20" spans="1:3" ht="15" customHeight="1" x14ac:dyDescent="0.45">
      <c r="A20" s="18" t="s">
        <v>150</v>
      </c>
      <c r="B20" s="22">
        <v>17</v>
      </c>
      <c r="C20" s="20" t="s">
        <v>151</v>
      </c>
    </row>
    <row r="22" spans="1:3" ht="15" customHeight="1" x14ac:dyDescent="0.45">
      <c r="A22" s="20" t="s">
        <v>152</v>
      </c>
    </row>
    <row r="23" spans="1:3" ht="15" customHeight="1" x14ac:dyDescent="0.45">
      <c r="A23" s="20"/>
    </row>
  </sheetData>
  <sheetProtection sheet="1" formatColumns="0" formatRows="0"/>
  <dataValidations count="2">
    <dataValidation type="list" allowBlank="1" sqref="I5:I8" xr:uid="{00000000-0002-0000-0300-000000000000}">
      <formula1>"Người của mình,Nhân viên cửa hàng"</formula1>
      <formula2>0</formula2>
    </dataValidation>
    <dataValidation type="decimal" allowBlank="1" sqref="H5:H8" xr:uid="{00000000-0002-0000-0300-000001000000}">
      <formula1>0</formula1>
      <formula2>1</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2"/>
  <sheetViews>
    <sheetView zoomScaleNormal="100" workbookViewId="0"/>
  </sheetViews>
  <sheetFormatPr defaultColWidth="8.6640625" defaultRowHeight="14.25" x14ac:dyDescent="0.45"/>
  <cols>
    <col min="1" max="1" width="30" customWidth="1"/>
    <col min="2" max="4" width="42" customWidth="1"/>
  </cols>
  <sheetData>
    <row r="1" spans="1:4" ht="17.25" customHeight="1" x14ac:dyDescent="0.45">
      <c r="A1" s="1" t="s">
        <v>153</v>
      </c>
    </row>
    <row r="2" spans="1:4" ht="15" customHeight="1" x14ac:dyDescent="0.45">
      <c r="A2" s="2" t="s">
        <v>154</v>
      </c>
    </row>
    <row r="4" spans="1:4" ht="15" customHeight="1" x14ac:dyDescent="0.45">
      <c r="A4" s="9" t="s">
        <v>155</v>
      </c>
      <c r="B4" s="9" t="s">
        <v>156</v>
      </c>
      <c r="C4" s="9" t="s">
        <v>157</v>
      </c>
      <c r="D4" s="9" t="s">
        <v>158</v>
      </c>
    </row>
    <row r="5" spans="1:4" ht="48" customHeight="1" x14ac:dyDescent="0.45">
      <c r="A5" s="23" t="s">
        <v>159</v>
      </c>
      <c r="B5" s="7" t="s">
        <v>160</v>
      </c>
      <c r="C5" s="7" t="s">
        <v>161</v>
      </c>
      <c r="D5" s="7" t="s">
        <v>162</v>
      </c>
    </row>
    <row r="6" spans="1:4" ht="48" customHeight="1" x14ac:dyDescent="0.45">
      <c r="A6" s="23" t="s">
        <v>163</v>
      </c>
      <c r="B6" s="7" t="s">
        <v>164</v>
      </c>
      <c r="C6" s="7" t="s">
        <v>165</v>
      </c>
      <c r="D6" s="7" t="s">
        <v>166</v>
      </c>
    </row>
    <row r="7" spans="1:4" ht="48" customHeight="1" x14ac:dyDescent="0.45">
      <c r="A7" s="23" t="s">
        <v>44</v>
      </c>
      <c r="B7" s="7" t="s">
        <v>167</v>
      </c>
      <c r="C7" s="7" t="s">
        <v>168</v>
      </c>
      <c r="D7" s="7" t="s">
        <v>169</v>
      </c>
    </row>
    <row r="8" spans="1:4" ht="48" customHeight="1" x14ac:dyDescent="0.45">
      <c r="A8" s="23" t="s">
        <v>170</v>
      </c>
      <c r="B8" s="7" t="s">
        <v>171</v>
      </c>
      <c r="C8" s="7" t="s">
        <v>172</v>
      </c>
      <c r="D8" s="7" t="s">
        <v>173</v>
      </c>
    </row>
    <row r="9" spans="1:4" ht="48" customHeight="1" x14ac:dyDescent="0.45">
      <c r="A9" s="23" t="s">
        <v>174</v>
      </c>
      <c r="B9" s="7" t="s">
        <v>175</v>
      </c>
      <c r="C9" s="7" t="s">
        <v>176</v>
      </c>
      <c r="D9" s="7" t="s">
        <v>177</v>
      </c>
    </row>
    <row r="10" spans="1:4" ht="48" customHeight="1" x14ac:dyDescent="0.45">
      <c r="A10" s="23" t="s">
        <v>178</v>
      </c>
      <c r="B10" s="7" t="s">
        <v>179</v>
      </c>
      <c r="C10" s="7" t="s">
        <v>180</v>
      </c>
      <c r="D10" s="7" t="s">
        <v>181</v>
      </c>
    </row>
    <row r="11" spans="1:4" ht="48" customHeight="1" x14ac:dyDescent="0.45">
      <c r="A11" s="23" t="s">
        <v>182</v>
      </c>
      <c r="B11" s="7" t="s">
        <v>183</v>
      </c>
      <c r="C11" s="7" t="s">
        <v>184</v>
      </c>
      <c r="D11" s="7" t="s">
        <v>185</v>
      </c>
    </row>
    <row r="12" spans="1:4" ht="48" customHeight="1" x14ac:dyDescent="0.45">
      <c r="A12" s="23" t="s">
        <v>186</v>
      </c>
      <c r="B12" s="7" t="s">
        <v>187</v>
      </c>
      <c r="C12" s="7" t="s">
        <v>188</v>
      </c>
      <c r="D12" s="7" t="s">
        <v>189</v>
      </c>
    </row>
  </sheetData>
  <sheetProtection sheet="1" formatColumns="0" formatRows="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2"/>
  <sheetViews>
    <sheetView zoomScaleNormal="100" workbookViewId="0"/>
  </sheetViews>
  <sheetFormatPr defaultColWidth="8.6640625" defaultRowHeight="14.25" x14ac:dyDescent="0.45"/>
  <cols>
    <col min="1" max="1" width="34" customWidth="1"/>
    <col min="2" max="3" width="40" customWidth="1"/>
    <col min="4" max="4" width="28" customWidth="1"/>
  </cols>
  <sheetData>
    <row r="1" spans="1:4" ht="17.25" customHeight="1" x14ac:dyDescent="0.45">
      <c r="A1" s="1" t="s">
        <v>190</v>
      </c>
    </row>
    <row r="2" spans="1:4" ht="15" customHeight="1" x14ac:dyDescent="0.45">
      <c r="A2" s="2" t="s">
        <v>191</v>
      </c>
    </row>
    <row r="4" spans="1:4" ht="15" customHeight="1" x14ac:dyDescent="0.45">
      <c r="A4" s="9" t="s">
        <v>192</v>
      </c>
      <c r="B4" s="9" t="s">
        <v>193</v>
      </c>
      <c r="C4" s="9" t="s">
        <v>194</v>
      </c>
      <c r="D4" s="9" t="s">
        <v>195</v>
      </c>
    </row>
    <row r="5" spans="1:4" ht="15" customHeight="1" x14ac:dyDescent="0.45">
      <c r="A5" s="7" t="s">
        <v>196</v>
      </c>
      <c r="B5" s="7" t="s">
        <v>197</v>
      </c>
      <c r="C5" s="7" t="s">
        <v>198</v>
      </c>
      <c r="D5" s="7" t="s">
        <v>199</v>
      </c>
    </row>
    <row r="6" spans="1:4" ht="15" customHeight="1" x14ac:dyDescent="0.45">
      <c r="A6" s="7" t="s">
        <v>200</v>
      </c>
      <c r="B6" s="7" t="s">
        <v>201</v>
      </c>
      <c r="C6" s="7" t="s">
        <v>202</v>
      </c>
      <c r="D6" s="7" t="s">
        <v>203</v>
      </c>
    </row>
    <row r="7" spans="1:4" ht="15" customHeight="1" x14ac:dyDescent="0.45">
      <c r="A7" s="7" t="s">
        <v>204</v>
      </c>
      <c r="B7" s="7" t="s">
        <v>205</v>
      </c>
      <c r="C7" s="7" t="s">
        <v>206</v>
      </c>
      <c r="D7" s="7" t="s">
        <v>207</v>
      </c>
    </row>
    <row r="8" spans="1:4" ht="15" customHeight="1" x14ac:dyDescent="0.45">
      <c r="A8" s="7" t="s">
        <v>208</v>
      </c>
      <c r="B8" s="7" t="s">
        <v>209</v>
      </c>
      <c r="C8" s="7" t="s">
        <v>210</v>
      </c>
      <c r="D8" s="7" t="s">
        <v>211</v>
      </c>
    </row>
    <row r="9" spans="1:4" ht="15" customHeight="1" x14ac:dyDescent="0.45">
      <c r="A9" s="7" t="s">
        <v>212</v>
      </c>
      <c r="B9" s="7" t="s">
        <v>213</v>
      </c>
      <c r="C9" s="7" t="s">
        <v>214</v>
      </c>
      <c r="D9" s="7" t="s">
        <v>215</v>
      </c>
    </row>
    <row r="10" spans="1:4" ht="15" customHeight="1" x14ac:dyDescent="0.45">
      <c r="A10" s="7" t="s">
        <v>216</v>
      </c>
      <c r="B10" s="7" t="s">
        <v>217</v>
      </c>
      <c r="C10" s="7" t="s">
        <v>218</v>
      </c>
      <c r="D10" s="7" t="s">
        <v>219</v>
      </c>
    </row>
    <row r="12" spans="1:4" ht="15" customHeight="1" x14ac:dyDescent="0.45">
      <c r="A12" s="20" t="s">
        <v>220</v>
      </c>
    </row>
  </sheetData>
  <sheetProtection sheet="1" formatColumns="0" formatRows="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8"/>
  <sheetViews>
    <sheetView zoomScaleNormal="100" workbookViewId="0">
      <selection activeCell="B7" sqref="B7"/>
    </sheetView>
  </sheetViews>
  <sheetFormatPr defaultColWidth="8.6640625" defaultRowHeight="14.25" x14ac:dyDescent="0.45"/>
  <cols>
    <col min="1" max="1" width="32" customWidth="1"/>
    <col min="2" max="2" width="90" customWidth="1"/>
    <col min="3" max="3" width="8" customWidth="1"/>
    <col min="4" max="4" width="12" customWidth="1"/>
  </cols>
  <sheetData>
    <row r="1" spans="1:4" ht="17.25" customHeight="1" x14ac:dyDescent="0.45">
      <c r="A1" s="1" t="s">
        <v>221</v>
      </c>
    </row>
    <row r="2" spans="1:4" ht="15" customHeight="1" x14ac:dyDescent="0.45">
      <c r="A2" s="2" t="s">
        <v>222</v>
      </c>
    </row>
    <row r="3" spans="1:4" ht="15" customHeight="1" x14ac:dyDescent="0.45">
      <c r="C3" s="24" t="s">
        <v>223</v>
      </c>
      <c r="D3" s="24" t="s">
        <v>224</v>
      </c>
    </row>
    <row r="4" spans="1:4" ht="33.75" customHeight="1" x14ac:dyDescent="0.45">
      <c r="A4" s="24" t="s">
        <v>225</v>
      </c>
      <c r="B4" s="7" t="s">
        <v>226</v>
      </c>
      <c r="C4" s="25">
        <f>IF(TRIM(B4)="",0,LEN(TRIM(B4))-LEN(SUBSTITUTE(TRIM(B4)," ",""))+1)</f>
        <v>50</v>
      </c>
      <c r="D4" s="17" t="str">
        <f>IF(C4=0,"Trống",IF(C4&gt;60,"Quá 60 chữ","Đạt"))</f>
        <v>Đạt</v>
      </c>
    </row>
    <row r="5" spans="1:4" ht="33.75" customHeight="1" x14ac:dyDescent="0.45">
      <c r="A5" s="24" t="s">
        <v>227</v>
      </c>
      <c r="B5" s="7" t="s">
        <v>228</v>
      </c>
      <c r="C5" s="25">
        <f>IF(TRIM(B5)="",0,LEN(TRIM(B5))-LEN(SUBSTITUTE(TRIM(B5)," ",""))+1)</f>
        <v>58</v>
      </c>
      <c r="D5" s="17" t="str">
        <f>IF(C5=0,"Trống",IF(C5&gt;60,"Quá 60 chữ","Đạt"))</f>
        <v>Đạt</v>
      </c>
    </row>
    <row r="6" spans="1:4" ht="33.75" customHeight="1" x14ac:dyDescent="0.45">
      <c r="A6" s="24" t="s">
        <v>229</v>
      </c>
      <c r="B6" s="7" t="s">
        <v>230</v>
      </c>
      <c r="C6" s="25">
        <f>IF(TRIM(B6)="",0,LEN(TRIM(B6))-LEN(SUBSTITUTE(TRIM(B6)," ",""))+1)</f>
        <v>51</v>
      </c>
      <c r="D6" s="17" t="str">
        <f>IF(C6=0,"Trống",IF(C6&gt;60,"Quá 60 chữ","Đạt"))</f>
        <v>Đạt</v>
      </c>
    </row>
    <row r="7" spans="1:4" ht="33.75" customHeight="1" x14ac:dyDescent="0.45">
      <c r="A7" s="24" t="s">
        <v>231</v>
      </c>
      <c r="B7" s="7" t="s">
        <v>232</v>
      </c>
      <c r="C7" s="25">
        <f>IF(TRIM(B7)="",0,LEN(TRIM(B7))-LEN(SUBSTITUTE(TRIM(B7)," ",""))+1)</f>
        <v>48</v>
      </c>
      <c r="D7" s="17" t="str">
        <f>IF(C7=0,"Trống",IF(C7&gt;60,"Quá 60 chữ","Đạt"))</f>
        <v>Đạt</v>
      </c>
    </row>
    <row r="8" spans="1:4" ht="33.75" customHeight="1" x14ac:dyDescent="0.45">
      <c r="A8" s="24" t="s">
        <v>233</v>
      </c>
      <c r="B8" s="7" t="s">
        <v>234</v>
      </c>
      <c r="C8" s="25">
        <f>IF(TRIM(B8)="",0,LEN(TRIM(B8))-LEN(SUBSTITUTE(TRIM(B8)," ",""))+1)</f>
        <v>51</v>
      </c>
      <c r="D8" s="17" t="str">
        <f>IF(C8=0,"Trống",IF(C8&gt;60,"Quá 60 chữ","Đạt"))</f>
        <v>Đạt</v>
      </c>
    </row>
  </sheetData>
  <sheetProtection sheet="1" formatColumns="0" formatRows="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2"/>
  <sheetViews>
    <sheetView zoomScaleNormal="100" workbookViewId="0"/>
  </sheetViews>
  <sheetFormatPr defaultColWidth="8.6640625" defaultRowHeight="14.25" x14ac:dyDescent="0.45"/>
  <cols>
    <col min="1" max="1" width="66" customWidth="1"/>
    <col min="2" max="3" width="14" customWidth="1"/>
  </cols>
  <sheetData>
    <row r="1" spans="1:3" ht="17.25" customHeight="1" x14ac:dyDescent="0.45">
      <c r="A1" s="1" t="s">
        <v>235</v>
      </c>
    </row>
    <row r="2" spans="1:3" ht="15" customHeight="1" x14ac:dyDescent="0.45">
      <c r="A2" s="2" t="s">
        <v>236</v>
      </c>
    </row>
    <row r="4" spans="1:3" ht="15" customHeight="1" x14ac:dyDescent="0.45">
      <c r="A4" s="9" t="s">
        <v>237</v>
      </c>
      <c r="B4" s="9" t="s">
        <v>238</v>
      </c>
      <c r="C4" s="9" t="s">
        <v>224</v>
      </c>
    </row>
    <row r="5" spans="1:3" ht="15" customHeight="1" x14ac:dyDescent="0.45">
      <c r="A5" s="10" t="s">
        <v>239</v>
      </c>
      <c r="B5" s="11">
        <f>COUNT('1_Danh sách việc'!M5:M14)</f>
        <v>6</v>
      </c>
      <c r="C5" s="11" t="str">
        <f>IF(B5&gt;=5,"Đạt","Xem lại")</f>
        <v>Đạt</v>
      </c>
    </row>
    <row r="6" spans="1:3" ht="15" customHeight="1" x14ac:dyDescent="0.45">
      <c r="A6" s="10" t="s">
        <v>240</v>
      </c>
      <c r="B6" s="11">
        <f>COUNTIFS('1_Danh sách việc'!O5:O14,"Thiếu",'1_Danh sách việc'!P5:P14,"&lt;&gt;Không làm")</f>
        <v>0</v>
      </c>
      <c r="C6" s="11" t="str">
        <f>IF(B5=0,"",IF(B6=0,"Đạt","Xem lại"))</f>
        <v>Đạt</v>
      </c>
    </row>
    <row r="7" spans="1:3" ht="15" customHeight="1" x14ac:dyDescent="0.45">
      <c r="A7" s="10" t="s">
        <v>241</v>
      </c>
      <c r="B7" s="11">
        <f>COUNTIF('2_Mức tự động'!M6:M8,"Có")</f>
        <v>3</v>
      </c>
      <c r="C7" s="11" t="str">
        <f>IF(B7&gt;=2,"Đạt","Xem lại")</f>
        <v>Đạt</v>
      </c>
    </row>
    <row r="8" spans="1:3" ht="15" customHeight="1" x14ac:dyDescent="0.45">
      <c r="A8" s="10" t="s">
        <v>242</v>
      </c>
      <c r="B8" s="11">
        <f>COUNTA('3_Bảng lộ trình'!B5:B12)</f>
        <v>8</v>
      </c>
      <c r="C8" s="11" t="str">
        <f>IF(B8=8,"Đạt","Xem lại")</f>
        <v>Đạt</v>
      </c>
    </row>
    <row r="9" spans="1:3" ht="15" customHeight="1" x14ac:dyDescent="0.45">
      <c r="A9" s="10" t="s">
        <v>243</v>
      </c>
      <c r="B9" s="11" t="str">
        <f>IF(AND(LEN('3_Bảng lộ trình'!B12)&gt;10,SUMPRODUCT(--ISNUMBER(SEARCH({"0","1","2","3","4","5","6","7","8","9"},'3_Bảng lộ trình'!B12)))&gt;0),"Có","Chưa")</f>
        <v>Có</v>
      </c>
      <c r="C9" s="11" t="str">
        <f>IF(B9="Có","Đạt","Xem lại")</f>
        <v>Đạt</v>
      </c>
    </row>
    <row r="10" spans="1:3" ht="15" customHeight="1" x14ac:dyDescent="0.45">
      <c r="A10" s="10" t="s">
        <v>244</v>
      </c>
      <c r="B10" s="11" t="str">
        <f>IF(AND(LEN('3_Bảng lộ trình'!B11)&gt;10,SUMPRODUCT(--ISNUMBER(SEARCH({"0","1","2","3","4","5","6","7","8","9"},'3_Bảng lộ trình'!B11)))&gt;0),"Có","Chưa")</f>
        <v>Có</v>
      </c>
      <c r="C10" s="11" t="str">
        <f>IF(B10="Có","Đạt","Xem lại")</f>
        <v>Đạt</v>
      </c>
    </row>
    <row r="11" spans="1:3" ht="15" customHeight="1" x14ac:dyDescent="0.45">
      <c r="A11" s="10" t="s">
        <v>245</v>
      </c>
      <c r="B11" s="11">
        <f>COUNTIF('5_Slide lãnh đạo'!D4:D8,"Đạt")</f>
        <v>5</v>
      </c>
      <c r="C11" s="11" t="str">
        <f>IF(B11=5,"Đạt","Xem lại")</f>
        <v>Đạt</v>
      </c>
    </row>
    <row r="12" spans="1:3" ht="15" customHeight="1" x14ac:dyDescent="0.45">
      <c r="A12" s="10" t="s">
        <v>246</v>
      </c>
      <c r="B12" s="11">
        <f>COUNTIF('2_Mức tự động'!L5:L8,"Đạt")</f>
        <v>2</v>
      </c>
      <c r="C12" s="11" t="str">
        <f>IF(B12&gt;=1,"Đạt","Xem lại")</f>
        <v>Đạt</v>
      </c>
    </row>
  </sheetData>
  <sheetProtection sheet="1" formatColumns="0" formatRows="0"/>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2"/>
  <sheetViews>
    <sheetView tabSelected="1" zoomScaleNormal="100" workbookViewId="0">
      <selection activeCell="D5" sqref="D5"/>
    </sheetView>
  </sheetViews>
  <sheetFormatPr defaultColWidth="8.6640625" defaultRowHeight="14.25" x14ac:dyDescent="0.45"/>
  <cols>
    <col min="1" max="1" width="32" customWidth="1"/>
    <col min="2" max="2" width="30" customWidth="1"/>
    <col min="3" max="3" width="80" customWidth="1"/>
    <col min="4" max="4" width="40" customWidth="1"/>
  </cols>
  <sheetData>
    <row r="1" spans="1:4" ht="17.25" customHeight="1" x14ac:dyDescent="0.45">
      <c r="A1" s="1" t="s">
        <v>247</v>
      </c>
    </row>
    <row r="2" spans="1:4" ht="15" customHeight="1" x14ac:dyDescent="0.45">
      <c r="A2" s="2"/>
    </row>
    <row r="4" spans="1:4" ht="15" customHeight="1" x14ac:dyDescent="0.45">
      <c r="A4" s="9" t="s">
        <v>248</v>
      </c>
      <c r="B4" s="9" t="s">
        <v>249</v>
      </c>
      <c r="C4" s="9" t="s">
        <v>250</v>
      </c>
      <c r="D4" s="9" t="s">
        <v>251</v>
      </c>
    </row>
    <row r="5" spans="1:4" ht="15" customHeight="1" x14ac:dyDescent="0.45">
      <c r="A5" s="10" t="s">
        <v>252</v>
      </c>
      <c r="B5">
        <v>20</v>
      </c>
      <c r="C5" s="26" t="s">
        <v>253</v>
      </c>
      <c r="D5" s="27"/>
    </row>
    <row r="6" spans="1:4" ht="15" customHeight="1" x14ac:dyDescent="0.45">
      <c r="A6" s="10" t="s">
        <v>254</v>
      </c>
      <c r="B6">
        <v>20</v>
      </c>
      <c r="C6" s="26" t="s">
        <v>255</v>
      </c>
      <c r="D6" s="27"/>
    </row>
    <row r="7" spans="1:4" ht="15" customHeight="1" x14ac:dyDescent="0.45">
      <c r="A7" s="10" t="s">
        <v>256</v>
      </c>
      <c r="B7">
        <v>25</v>
      </c>
      <c r="C7" s="26" t="s">
        <v>257</v>
      </c>
      <c r="D7" s="27"/>
    </row>
    <row r="8" spans="1:4" ht="15" customHeight="1" x14ac:dyDescent="0.45">
      <c r="A8" s="10" t="s">
        <v>258</v>
      </c>
      <c r="B8">
        <v>15</v>
      </c>
      <c r="C8" s="26" t="s">
        <v>259</v>
      </c>
      <c r="D8" s="27"/>
    </row>
    <row r="9" spans="1:4" ht="15" customHeight="1" x14ac:dyDescent="0.45">
      <c r="A9" s="10" t="s">
        <v>260</v>
      </c>
      <c r="B9">
        <v>20</v>
      </c>
      <c r="C9" s="26" t="s">
        <v>261</v>
      </c>
      <c r="D9" s="27"/>
    </row>
    <row r="10" spans="1:4" ht="15" customHeight="1" x14ac:dyDescent="0.45">
      <c r="A10" s="8" t="s">
        <v>262</v>
      </c>
      <c r="B10">
        <f>SUM(B5:B9)</f>
        <v>100</v>
      </c>
      <c r="D10" s="11">
        <f>SUM(D5:D9)</f>
        <v>0</v>
      </c>
    </row>
    <row r="12" spans="1:4" ht="15" customHeight="1" x14ac:dyDescent="0.45">
      <c r="A12" s="8"/>
      <c r="D12" s="27"/>
    </row>
    <row r="15" spans="1:4" ht="15" customHeight="1" x14ac:dyDescent="0.45">
      <c r="A15" s="28" t="s">
        <v>263</v>
      </c>
    </row>
    <row r="16" spans="1:4" ht="15" customHeight="1" x14ac:dyDescent="0.45">
      <c r="A16" s="9" t="s">
        <v>248</v>
      </c>
      <c r="B16" s="9" t="s">
        <v>264</v>
      </c>
      <c r="C16" s="9" t="s">
        <v>265</v>
      </c>
      <c r="D16" s="9" t="s">
        <v>266</v>
      </c>
    </row>
    <row r="17" spans="1:4" ht="45.75" customHeight="1" x14ac:dyDescent="0.45">
      <c r="A17" s="29" t="s">
        <v>267</v>
      </c>
      <c r="B17" s="30" t="s">
        <v>268</v>
      </c>
      <c r="C17" s="30" t="s">
        <v>269</v>
      </c>
      <c r="D17" s="30" t="s">
        <v>270</v>
      </c>
    </row>
    <row r="18" spans="1:4" ht="45.75" customHeight="1" x14ac:dyDescent="0.45">
      <c r="A18" s="29" t="s">
        <v>271</v>
      </c>
      <c r="B18" s="30" t="s">
        <v>272</v>
      </c>
      <c r="C18" s="30" t="s">
        <v>273</v>
      </c>
      <c r="D18" s="30" t="s">
        <v>274</v>
      </c>
    </row>
    <row r="19" spans="1:4" ht="45.75" customHeight="1" x14ac:dyDescent="0.45">
      <c r="A19" s="29" t="s">
        <v>275</v>
      </c>
      <c r="B19" s="30" t="s">
        <v>276</v>
      </c>
      <c r="C19" s="30" t="s">
        <v>277</v>
      </c>
      <c r="D19" s="30" t="s">
        <v>278</v>
      </c>
    </row>
    <row r="20" spans="1:4" ht="45.75" customHeight="1" x14ac:dyDescent="0.45">
      <c r="A20" s="29" t="s">
        <v>279</v>
      </c>
      <c r="B20" s="30" t="s">
        <v>280</v>
      </c>
      <c r="C20" s="30" t="s">
        <v>281</v>
      </c>
      <c r="D20" s="30" t="s">
        <v>282</v>
      </c>
    </row>
    <row r="22" spans="1:4" ht="15" customHeight="1" x14ac:dyDescent="0.45">
      <c r="A22" s="20" t="s">
        <v>283</v>
      </c>
    </row>
  </sheetData>
  <sheetProtection sheet="1" formatColumns="0" formatRows="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0_Hướng dẫn</vt:lpstr>
      <vt:lpstr>0_Đầu vào</vt:lpstr>
      <vt:lpstr>1_Danh sách việc</vt:lpstr>
      <vt:lpstr>2_Mức tự động</vt:lpstr>
      <vt:lpstr>3_Bảng lộ trình</vt:lpstr>
      <vt:lpstr>4_Rà soát</vt:lpstr>
      <vt:lpstr>5_Slide lãnh đạo</vt:lpstr>
      <vt:lpstr>6_Tự kiểm tra</vt:lpstr>
      <vt:lpstr>7_Thang điểm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Quoc Bao Vu</cp:lastModifiedBy>
  <cp:revision>0</cp:revision>
  <dcterms:created xsi:type="dcterms:W3CDTF">2026-10-04T05:24:07Z</dcterms:created>
  <dcterms:modified xsi:type="dcterms:W3CDTF">2026-10-16T08:07:23Z</dcterms:modified>
  <dc:language>en-US</dc:language>
</cp:coreProperties>
</file>